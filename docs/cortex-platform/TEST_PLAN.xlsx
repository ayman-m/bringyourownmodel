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s" sheetId="2" state="visible" r:id="rId2"/>
    <sheet xmlns:r="http://schemas.openxmlformats.org/officeDocument/2006/relationships" name="Guide" sheetId="3" state="visible" r:id="rId3"/>
    <sheet xmlns:r="http://schemas.openxmlformats.org/officeDocument/2006/relationships" name="Jobs by hand" sheetId="4" state="visible" r:id="rId4"/>
    <sheet xmlns:r="http://schemas.openxmlformats.org/officeDocument/2006/relationships" name="Troubleshooting" sheetId="5" state="visible" r:id="rId5"/>
    <sheet xmlns:r="http://schemas.openxmlformats.org/officeDocument/2006/relationships" name="Jobs and layouts" sheetId="6" state="visible" r:id="rId6"/>
    <sheet xmlns:r="http://schemas.openxmlformats.org/officeDocument/2006/relationships" name="Changes" sheetId="7" state="visible" r:id="rId7"/>
  </sheets>
  <definedNames>
    <definedName name="_xlnm._FilterDatabase" localSheetId="1" hidden="1">'Tests'!$A$1:$M$122</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font>
    <font>
      <b val="1"/>
      <sz val="16"/>
    </font>
    <font>
      <b val="1"/>
      <sz val="12"/>
    </font>
  </fonts>
  <fills count="5">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BDD7EE"/>
        <bgColor rgb="00BDD7EE"/>
      </patternFill>
    </fill>
  </fills>
  <borders count="1">
    <border>
      <left/>
      <right/>
      <top/>
      <bottom/>
      <diagonal/>
    </border>
  </borders>
  <cellStyleXfs count="1">
    <xf numFmtId="0" fontId="0" fillId="0" borderId="0"/>
  </cellStyleXfs>
  <cellXfs count="17">
    <xf numFmtId="0" fontId="0" fillId="0" borderId="0" pivotButton="0" quotePrefix="0" xfId="0"/>
    <xf numFmtId="0" fontId="2" fillId="0" borderId="0" pivotButton="0" quotePrefix="0" xfId="0"/>
    <xf numFmtId="0" fontId="1" fillId="0" borderId="0" pivotButton="0" quotePrefix="0" xfId="0"/>
    <xf numFmtId="0" fontId="0" fillId="3" borderId="0" pivotButton="0" quotePrefix="0" xfId="0"/>
    <xf numFmtId="0" fontId="3" fillId="0" borderId="0" pivotButton="0" quotePrefix="0" xfId="0"/>
    <xf numFmtId="0" fontId="1" fillId="2" borderId="0" applyAlignment="1" pivotButton="0" quotePrefix="0" xfId="0">
      <alignment horizontal="left"/>
    </xf>
    <xf numFmtId="0" fontId="1" fillId="2" borderId="0" applyAlignment="1" pivotButton="0" quotePrefix="0" xfId="0">
      <alignment horizontal="center"/>
    </xf>
    <xf numFmtId="0" fontId="0" fillId="0" borderId="0" applyAlignment="1" pivotButton="0" quotePrefix="0" xfId="0">
      <alignment horizontal="center"/>
    </xf>
    <xf numFmtId="9" fontId="0" fillId="0" borderId="0" applyAlignment="1" pivotButton="0" quotePrefix="0" xfId="0">
      <alignment horizontal="center"/>
    </xf>
    <xf numFmtId="0" fontId="1" fillId="2" borderId="0" pivotButton="0" quotePrefix="0" xfId="0"/>
    <xf numFmtId="9" fontId="1" fillId="2" borderId="0" applyAlignment="1" pivotButton="0" quotePrefix="0" xfId="0">
      <alignment horizontal="center"/>
    </xf>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3" fillId="4" borderId="0" pivotButton="0" quotePrefix="0" xfId="0"/>
    <xf numFmtId="0" fontId="0" fillId="4" borderId="0" pivotButton="0" quotePrefix="0" xfId="0"/>
    <xf numFmtId="0" fontId="1" fillId="0" borderId="0" applyAlignment="1" pivotButton="0" quotePrefix="0" xfId="0">
      <alignment vertical="top" wrapText="1"/>
    </xf>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D8A8"/>
          <bgColor rgb="00FFD8A8"/>
        </patternFill>
      </fill>
    </dxf>
    <dxf>
      <fill>
        <patternFill patternType="solid">
          <fgColor rgb="00E0E0E0"/>
          <b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tabSelected="1" workbookViewId="0">
      <selection activeCell="A1" sqref="A1"/>
    </sheetView>
  </sheetViews>
  <sheetFormatPr baseColWidth="8" defaultRowHeight="15"/>
  <cols>
    <col width="34" customWidth="1" min="1" max="1"/>
    <col width="3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Guardian deployment test: Cortex platform tenant</t>
        </is>
      </c>
    </row>
    <row r="3">
      <c r="A3" s="2" t="inlineStr">
        <is>
          <t>Tenant</t>
        </is>
      </c>
      <c r="B3" s="3" t="n"/>
    </row>
    <row r="4">
      <c r="A4" s="2" t="inlineStr">
        <is>
          <t>Tenant type (for example Cortex Cloud)</t>
        </is>
      </c>
      <c r="B4" s="3" t="n"/>
    </row>
    <row r="5">
      <c r="A5" s="2" t="inlineStr">
        <is>
          <t>Guardian content version</t>
        </is>
      </c>
      <c r="B5" s="3" t="n"/>
    </row>
    <row r="6">
      <c r="A6" s="2" t="inlineStr">
        <is>
          <t>Model provider and deployment</t>
        </is>
      </c>
      <c r="B6" s="3" t="n"/>
    </row>
    <row r="7">
      <c r="A7" s="2" t="inlineStr">
        <is>
          <t>Tester(s)</t>
        </is>
      </c>
      <c r="B7" s="3" t="n"/>
    </row>
    <row r="8">
      <c r="A8" s="2" t="inlineStr">
        <is>
          <t>Started</t>
        </is>
      </c>
      <c r="B8" s="3" t="n"/>
    </row>
    <row r="9">
      <c r="A9" s="2" t="inlineStr">
        <is>
          <t>Finished</t>
        </is>
      </c>
      <c r="B9" s="3" t="n"/>
    </row>
    <row r="11">
      <c r="A11" s="4" t="inlineStr">
        <is>
          <t>How to use this file</t>
        </is>
      </c>
    </row>
    <row r="12">
      <c r="A12" t="inlineStr">
        <is>
          <t>1. Make a copy of this file for each tenant.</t>
        </is>
      </c>
    </row>
    <row r="13">
      <c r="A13" t="inlineStr">
        <is>
          <t>2. Work through the Tests tab top to bottom.</t>
        </is>
      </c>
    </row>
    <row r="14">
      <c r="A14" t="inlineStr">
        <is>
          <t>3. Set each test's Status (it starts as "Not run").</t>
        </is>
      </c>
    </row>
    <row r="15">
      <c r="A15" t="inlineStr">
        <is>
          <t>4. Put a screenshot name or War Room entry in Evidence.</t>
        </is>
      </c>
    </row>
    <row r="16">
      <c r="A16" t="inlineStr">
        <is>
          <t>5. Read the Guide tab first.</t>
        </is>
      </c>
    </row>
    <row r="17">
      <c r="A17" t="inlineStr">
        <is>
          <t>Status is the tick: it also records whether the test passed. For a plain tick box in Google Sheets, select a column and use Insert &gt; Checkbox.</t>
        </is>
      </c>
    </row>
    <row r="19">
      <c r="A19" s="4" t="inlineStr">
        <is>
          <t>Progress</t>
        </is>
      </c>
    </row>
    <row r="20">
      <c r="A20" s="5" t="inlineStr">
        <is>
          <t>Part</t>
        </is>
      </c>
      <c r="B20" s="6" t="inlineStr">
        <is>
          <t>Tests</t>
        </is>
      </c>
      <c r="C20" s="6" t="inlineStr">
        <is>
          <t>Not run</t>
        </is>
      </c>
      <c r="D20" s="6" t="inlineStr">
        <is>
          <t>Pass</t>
        </is>
      </c>
      <c r="E20" s="6" t="inlineStr">
        <is>
          <t>Fail</t>
        </is>
      </c>
      <c r="F20" s="6" t="inlineStr">
        <is>
          <t>Blocked</t>
        </is>
      </c>
      <c r="G20" s="6" t="inlineStr">
        <is>
          <t>Skipped</t>
        </is>
      </c>
      <c r="H20" s="6" t="inlineStr">
        <is>
          <t>N/A</t>
        </is>
      </c>
      <c r="I20" s="6" t="inlineStr">
        <is>
          <t>Done</t>
        </is>
      </c>
      <c r="J20" s="6" t="inlineStr">
        <is>
          <t>% done</t>
        </is>
      </c>
    </row>
    <row r="21">
      <c r="A21" t="inlineStr">
        <is>
          <t>0 Before the session</t>
        </is>
      </c>
      <c r="B21" s="7">
        <f>COUNTIF(Tests!$B$2:$B$200,"0 Before")</f>
        <v/>
      </c>
      <c r="C21" s="7">
        <f>COUNTIFS(Tests!$B$2:$B$200,"0 Before",Tests!$I$2:$I$200,"Not run")</f>
        <v/>
      </c>
      <c r="D21" s="7">
        <f>COUNTIFS(Tests!$B$2:$B$200,"0 Before",Tests!$I$2:$I$200,"Pass")</f>
        <v/>
      </c>
      <c r="E21" s="7">
        <f>COUNTIFS(Tests!$B$2:$B$200,"0 Before",Tests!$I$2:$I$200,"Fail")</f>
        <v/>
      </c>
      <c r="F21" s="7">
        <f>COUNTIFS(Tests!$B$2:$B$200,"0 Before",Tests!$I$2:$I$200,"Blocked")</f>
        <v/>
      </c>
      <c r="G21" s="7">
        <f>COUNTIFS(Tests!$B$2:$B$200,"0 Before",Tests!$I$2:$I$200,"Skipped")</f>
        <v/>
      </c>
      <c r="H21" s="7">
        <f>COUNTIFS(Tests!$B$2:$B$200,"0 Before",Tests!$I$2:$I$200,"N/A")</f>
        <v/>
      </c>
      <c r="I21" s="7">
        <f>B21-C21</f>
        <v/>
      </c>
      <c r="J21" s="8">
        <f>IF(B21=0,0,I21/B21)</f>
        <v/>
      </c>
    </row>
    <row r="22">
      <c r="A22" t="inlineStr">
        <is>
          <t>Part 1: without a model</t>
        </is>
      </c>
      <c r="B22" s="7">
        <f>COUNTIF(Tests!$B$2:$B$200,"1 No model")</f>
        <v/>
      </c>
      <c r="C22" s="7">
        <f>COUNTIFS(Tests!$B$2:$B$200,"1 No model",Tests!$I$2:$I$200,"Not run")</f>
        <v/>
      </c>
      <c r="D22" s="7">
        <f>COUNTIFS(Tests!$B$2:$B$200,"1 No model",Tests!$I$2:$I$200,"Pass")</f>
        <v/>
      </c>
      <c r="E22" s="7">
        <f>COUNTIFS(Tests!$B$2:$B$200,"1 No model",Tests!$I$2:$I$200,"Fail")</f>
        <v/>
      </c>
      <c r="F22" s="7">
        <f>COUNTIFS(Tests!$B$2:$B$200,"1 No model",Tests!$I$2:$I$200,"Blocked")</f>
        <v/>
      </c>
      <c r="G22" s="7">
        <f>COUNTIFS(Tests!$B$2:$B$200,"1 No model",Tests!$I$2:$I$200,"Skipped")</f>
        <v/>
      </c>
      <c r="H22" s="7">
        <f>COUNTIFS(Tests!$B$2:$B$200,"1 No model",Tests!$I$2:$I$200,"N/A")</f>
        <v/>
      </c>
      <c r="I22" s="7">
        <f>B22-C22</f>
        <v/>
      </c>
      <c r="J22" s="8">
        <f>IF(B22=0,0,I22/B22)</f>
        <v/>
      </c>
    </row>
    <row r="23">
      <c r="A23" t="inlineStr">
        <is>
          <t>Part 2: connect the model</t>
        </is>
      </c>
      <c r="B23" s="7">
        <f>COUNTIF(Tests!$B$2:$B$200,"2 Model")</f>
        <v/>
      </c>
      <c r="C23" s="7">
        <f>COUNTIFS(Tests!$B$2:$B$200,"2 Model",Tests!$I$2:$I$200,"Not run")</f>
        <v/>
      </c>
      <c r="D23" s="7">
        <f>COUNTIFS(Tests!$B$2:$B$200,"2 Model",Tests!$I$2:$I$200,"Pass")</f>
        <v/>
      </c>
      <c r="E23" s="7">
        <f>COUNTIFS(Tests!$B$2:$B$200,"2 Model",Tests!$I$2:$I$200,"Fail")</f>
        <v/>
      </c>
      <c r="F23" s="7">
        <f>COUNTIFS(Tests!$B$2:$B$200,"2 Model",Tests!$I$2:$I$200,"Blocked")</f>
        <v/>
      </c>
      <c r="G23" s="7">
        <f>COUNTIFS(Tests!$B$2:$B$200,"2 Model",Tests!$I$2:$I$200,"Skipped")</f>
        <v/>
      </c>
      <c r="H23" s="7">
        <f>COUNTIFS(Tests!$B$2:$B$200,"2 Model",Tests!$I$2:$I$200,"N/A")</f>
        <v/>
      </c>
      <c r="I23" s="7">
        <f>B23-C23</f>
        <v/>
      </c>
      <c r="J23" s="8">
        <f>IF(B23=0,0,I23/B23)</f>
        <v/>
      </c>
    </row>
    <row r="24">
      <c r="A24" t="inlineStr">
        <is>
          <t>Part 3: with the model</t>
        </is>
      </c>
      <c r="B24" s="7">
        <f>COUNTIF(Tests!$B$2:$B$200,"3 With model")</f>
        <v/>
      </c>
      <c r="C24" s="7">
        <f>COUNTIFS(Tests!$B$2:$B$200,"3 With model",Tests!$I$2:$I$200,"Not run")</f>
        <v/>
      </c>
      <c r="D24" s="7">
        <f>COUNTIFS(Tests!$B$2:$B$200,"3 With model",Tests!$I$2:$I$200,"Pass")</f>
        <v/>
      </c>
      <c r="E24" s="7">
        <f>COUNTIFS(Tests!$B$2:$B$200,"3 With model",Tests!$I$2:$I$200,"Fail")</f>
        <v/>
      </c>
      <c r="F24" s="7">
        <f>COUNTIFS(Tests!$B$2:$B$200,"3 With model",Tests!$I$2:$I$200,"Blocked")</f>
        <v/>
      </c>
      <c r="G24" s="7">
        <f>COUNTIFS(Tests!$B$2:$B$200,"3 With model",Tests!$I$2:$I$200,"Skipped")</f>
        <v/>
      </c>
      <c r="H24" s="7">
        <f>COUNTIFS(Tests!$B$2:$B$200,"3 With model",Tests!$I$2:$I$200,"N/A")</f>
        <v/>
      </c>
      <c r="I24" s="7">
        <f>B24-C24</f>
        <v/>
      </c>
      <c r="J24" s="8">
        <f>IF(B24=0,0,I24/B24)</f>
        <v/>
      </c>
    </row>
    <row r="25">
      <c r="A25" s="9" t="inlineStr">
        <is>
          <t>Total</t>
        </is>
      </c>
      <c r="B25" s="6">
        <f>COUNTA(Tests!$B$2:$B$200)</f>
        <v/>
      </c>
      <c r="C25" s="6">
        <f>COUNTIF(Tests!$I$2:$I$200,"Not run")</f>
        <v/>
      </c>
      <c r="D25" s="6">
        <f>COUNTIF(Tests!$I$2:$I$200,"Pass")</f>
        <v/>
      </c>
      <c r="E25" s="6">
        <f>COUNTIF(Tests!$I$2:$I$200,"Fail")</f>
        <v/>
      </c>
      <c r="F25" s="6">
        <f>COUNTIF(Tests!$I$2:$I$200,"Blocked")</f>
        <v/>
      </c>
      <c r="G25" s="6">
        <f>COUNTIF(Tests!$I$2:$I$200,"Skipped")</f>
        <v/>
      </c>
      <c r="H25" s="6">
        <f>COUNTIF(Tests!$I$2:$I$200,"N/A")</f>
        <v/>
      </c>
      <c r="I25" s="6">
        <f>B25-C25</f>
        <v/>
      </c>
      <c r="J25" s="10">
        <f>IF(B25=0,0,I25/B25)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
  <sheetViews>
    <sheetView tabSelected="0"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7" customWidth="1" min="1" max="1"/>
    <col width="11" customWidth="1" min="2" max="2"/>
    <col width="24" customWidth="1" min="3" max="3"/>
    <col width="26" customWidth="1" min="4" max="4"/>
    <col width="60" customWidth="1" min="5" max="5"/>
    <col width="60" customWidth="1" min="6" max="6"/>
    <col width="7" customWidth="1" min="7" max="7"/>
    <col width="9" customWidth="1" min="8" max="8"/>
    <col width="11" customWidth="1" min="9" max="9"/>
    <col width="24" customWidth="1" min="10" max="10"/>
    <col width="24" customWidth="1" min="11" max="11"/>
    <col width="11" customWidth="1" min="12" max="12"/>
    <col width="12" customWidth="1" min="13" max="13"/>
  </cols>
  <sheetData>
    <row r="1">
      <c r="A1" s="11" t="inlineStr">
        <is>
          <t>ID</t>
        </is>
      </c>
      <c r="B1" s="11" t="inlineStr">
        <is>
          <t>Part</t>
        </is>
      </c>
      <c r="C1" s="11" t="inlineStr">
        <is>
          <t>Section</t>
        </is>
      </c>
      <c r="D1" s="11" t="inlineStr">
        <is>
          <t>Test</t>
        </is>
      </c>
      <c r="E1" s="11" t="inlineStr">
        <is>
          <t>Steps</t>
        </is>
      </c>
      <c r="F1" s="11" t="inlineStr">
        <is>
          <t>Expected</t>
        </is>
      </c>
      <c r="G1" s="11" t="inlineStr">
        <is>
          <t>Billed</t>
        </is>
      </c>
      <c r="H1" s="11" t="inlineStr">
        <is>
          <t>Optional</t>
        </is>
      </c>
      <c r="I1" s="11" t="inlineStr">
        <is>
          <t>Status</t>
        </is>
      </c>
      <c r="J1" s="11" t="inlineStr">
        <is>
          <t>Evidence</t>
        </is>
      </c>
      <c r="K1" s="11" t="inlineStr">
        <is>
          <t>Notes</t>
        </is>
      </c>
      <c r="L1" s="11" t="inlineStr">
        <is>
          <t>Date</t>
        </is>
      </c>
      <c r="M1" s="11" t="inlineStr">
        <is>
          <t>By</t>
        </is>
      </c>
    </row>
    <row r="2">
      <c r="A2" s="12" t="inlineStr">
        <is>
          <t>B1</t>
        </is>
      </c>
      <c r="B2" s="12" t="inlineStr">
        <is>
          <t>0 Before</t>
        </is>
      </c>
      <c r="C2" s="12" t="inlineStr">
        <is>
          <t>0 Before the session</t>
        </is>
      </c>
      <c r="D2" s="12" t="inlineStr">
        <is>
          <t>Part 1: content installed</t>
        </is>
      </c>
      <c r="E2" s="12" t="inlineStr">
        <is>
          <t>The Guardian content is installed. On a tenant without layouts, some layouts, issue types or dashboards may not have installed: test P1 records what is there.</t>
        </is>
      </c>
      <c r="F2" s="12" t="inlineStr">
        <is>
          <t>Ready</t>
        </is>
      </c>
      <c r="G2" s="12" t="n"/>
      <c r="H2" s="12" t="n"/>
      <c r="I2" s="12" t="inlineStr">
        <is>
          <t>Not run</t>
        </is>
      </c>
      <c r="J2" s="12" t="n"/>
      <c r="K2" s="12" t="n"/>
      <c r="L2" s="13" t="n"/>
      <c r="M2" s="12" t="n"/>
    </row>
    <row r="3">
      <c r="A3" s="12" t="inlineStr">
        <is>
          <t>B2</t>
        </is>
      </c>
      <c r="B3" s="12" t="inlineStr">
        <is>
          <t>0 Before</t>
        </is>
      </c>
      <c r="C3" s="12" t="inlineStr">
        <is>
          <t>0 Before the session</t>
        </is>
      </c>
      <c r="D3" s="12" t="inlineStr">
        <is>
          <t>Part 1: account permissions</t>
        </is>
      </c>
      <c r="E3" s="12" t="inlineStr">
        <is>
          <t>You have an account that can create integration instances, run commands in a War Room, read Lists and set an issue's playbook.</t>
        </is>
      </c>
      <c r="F3" s="12" t="inlineStr">
        <is>
          <t>Ready</t>
        </is>
      </c>
      <c r="G3" s="12" t="n"/>
      <c r="H3" s="12" t="n"/>
      <c r="I3" s="12" t="inlineStr">
        <is>
          <t>Not run</t>
        </is>
      </c>
      <c r="J3" s="12" t="n"/>
      <c r="K3" s="12" t="n"/>
      <c r="L3" s="13" t="n"/>
      <c r="M3" s="12" t="n"/>
    </row>
    <row r="4">
      <c r="A4" s="12" t="inlineStr">
        <is>
          <t>B3</t>
        </is>
      </c>
      <c r="B4" s="12" t="inlineStr">
        <is>
          <t>0 Before</t>
        </is>
      </c>
      <c r="C4" s="12" t="inlineStr">
        <is>
          <t>0 Before the session</t>
        </is>
      </c>
      <c r="D4" s="12" t="inlineStr">
        <is>
          <t>Part 1: Core REST API key</t>
        </is>
      </c>
      <c r="E4" s="12" t="inlineStr">
        <is>
          <t>A Standard-level API key and its key ID, for the Core REST API instance (P4). docs/cortex-platform/README.md, "Prerequisites", says how to create one.</t>
        </is>
      </c>
      <c r="F4" s="12" t="inlineStr">
        <is>
          <t>Ready</t>
        </is>
      </c>
      <c r="G4" s="12" t="n"/>
      <c r="H4" s="12" t="n"/>
      <c r="I4" s="12" t="inlineStr">
        <is>
          <t>Not run</t>
        </is>
      </c>
      <c r="J4" s="12" t="n"/>
      <c r="K4" s="12" t="n"/>
      <c r="L4" s="13" t="n"/>
      <c r="M4" s="12" t="n"/>
    </row>
    <row r="5">
      <c r="A5" s="12" t="inlineStr">
        <is>
          <t>B4</t>
        </is>
      </c>
      <c r="B5" s="12" t="inlineStr">
        <is>
          <t>0 Before</t>
        </is>
      </c>
      <c r="C5" s="12" t="inlineStr">
        <is>
          <t>0 Before the session</t>
        </is>
      </c>
      <c r="D5" s="12" t="inlineStr">
        <is>
          <t>Part 1: test issues chosen</t>
        </is>
      </c>
      <c r="E5" s="12" t="inlineStr">
        <is>
          <t>Test issues chosen: one workbench issue; two or three investigation issues of different kinds (one you believe is a false positive, one real finding, one with entities such as an IP address, host, user or hash); and one spare issue that may be closed: a test issue, not a real alert (S3 targets it and O2 closes it). Guardian adds notes and fields to these issues. It cannot close them or change anything else without an approval.</t>
        </is>
      </c>
      <c r="F5" s="12" t="inlineStr">
        <is>
          <t>Ready</t>
        </is>
      </c>
      <c r="G5" s="12" t="n"/>
      <c r="H5" s="12" t="n"/>
      <c r="I5" s="12" t="inlineStr">
        <is>
          <t>Not run</t>
        </is>
      </c>
      <c r="J5" s="12" t="n"/>
      <c r="K5" s="12" t="n"/>
      <c r="L5" s="13" t="n"/>
      <c r="M5" s="12" t="n"/>
    </row>
    <row r="6">
      <c r="A6" s="12" t="inlineStr">
        <is>
          <t>B5</t>
        </is>
      </c>
      <c r="B6" s="12" t="inlineStr">
        <is>
          <t>0 Before</t>
        </is>
      </c>
      <c r="C6" s="12" t="inlineStr">
        <is>
          <t>0 Before the session</t>
        </is>
      </c>
      <c r="D6" s="12" t="inlineStr">
        <is>
          <t>Part 2: model account ready</t>
        </is>
      </c>
      <c r="E6" s="12" t="inlineStr">
        <is>
          <t>The model provider account is ready, following docs/MODEL_SETUP.md. For Microsoft Foundry: an app registration (it appears under Enterprise applications) with either a client secret or the public certificate uploaded (then the combined PEM file, private key and certificate, at hand), a role on the Foundry resource, and a custom subdomain on the resource.</t>
        </is>
      </c>
      <c r="F6" s="12" t="inlineStr">
        <is>
          <t>Ready</t>
        </is>
      </c>
      <c r="G6" s="12" t="n"/>
      <c r="H6" s="12" t="n"/>
      <c r="I6" s="12" t="inlineStr">
        <is>
          <t>Not run</t>
        </is>
      </c>
      <c r="J6" s="12" t="n"/>
      <c r="K6" s="12" t="n"/>
      <c r="L6" s="13" t="n"/>
      <c r="M6" s="12" t="n"/>
    </row>
    <row r="7">
      <c r="A7" s="12" t="inlineStr">
        <is>
          <t>B6</t>
        </is>
      </c>
      <c r="B7" s="12" t="inlineStr">
        <is>
          <t>0 Before</t>
        </is>
      </c>
      <c r="C7" s="12" t="inlineStr">
        <is>
          <t>0 Before the session</t>
        </is>
      </c>
      <c r="D7" s="12" t="inlineStr">
        <is>
          <t>Part 2: network access</t>
        </is>
      </c>
      <c r="E7" s="12" t="inlineStr">
        <is>
          <t>The tenant can reach the model over HTTPS (443): the Foundry resource endpoint and, for Entra ID, login.microsoftonline.com. If the Foundry resource limits networks (Selected networks), the tenant's outbound IP addresses are allowed.</t>
        </is>
      </c>
      <c r="F7" s="12" t="inlineStr">
        <is>
          <t>Ready</t>
        </is>
      </c>
      <c r="G7" s="12" t="n"/>
      <c r="H7" s="12" t="n"/>
      <c r="I7" s="12" t="inlineStr">
        <is>
          <t>Not run</t>
        </is>
      </c>
      <c r="J7" s="12" t="n"/>
      <c r="K7" s="12" t="n"/>
      <c r="L7" s="13" t="n"/>
      <c r="M7" s="12" t="n"/>
    </row>
    <row r="8">
      <c r="A8" s="12" t="inlineStr">
        <is>
          <t>B7</t>
        </is>
      </c>
      <c r="B8" s="12" t="inlineStr">
        <is>
          <t>0 Before</t>
        </is>
      </c>
      <c r="C8" s="12" t="inlineStr">
        <is>
          <t>0 Before the session</t>
        </is>
      </c>
      <c r="D8" s="12" t="inlineStr">
        <is>
          <t>Part 2: token quota</t>
        </is>
      </c>
      <c r="E8" s="12" t="inlineStr">
        <is>
          <t>The deployment has enough tokens-per-minute quota. A Guardian turn is tens of thousands of tokens, and a small quota answers HTTP 429.</t>
        </is>
      </c>
      <c r="F8" s="12" t="inlineStr">
        <is>
          <t>Ready</t>
        </is>
      </c>
      <c r="G8" s="12" t="n"/>
      <c r="H8" s="12" t="n"/>
      <c r="I8" s="12" t="inlineStr">
        <is>
          <t>Not run</t>
        </is>
      </c>
      <c r="J8" s="12" t="n"/>
      <c r="K8" s="12" t="n"/>
      <c r="L8" s="13" t="n"/>
      <c r="M8" s="12" t="n"/>
    </row>
    <row r="9">
      <c r="A9" s="12" t="inlineStr">
        <is>
          <t>P1</t>
        </is>
      </c>
      <c r="B9" s="12" t="inlineStr">
        <is>
          <t>1 No model</t>
        </is>
      </c>
      <c r="C9" s="12" t="inlineStr">
        <is>
          <t>1 Preflight</t>
        </is>
      </c>
      <c r="D9" s="12" t="inlineStr">
        <is>
          <t>Content present</t>
        </is>
      </c>
      <c r="E9" s="12" t="inlineStr">
        <is>
          <t>In the scripts, playbooks, lists and integrations pages, search for Guardian. Count what is installed.</t>
        </is>
      </c>
      <c r="F9" s="12" t="inlineStr">
        <is>
          <t>3 integrations (Guardian Foundry, Guardian Vertex, Guardian Cohere), 77 automations, 21 playbooks, 25 lists, 15 issue fields, 10 indicator fields, 2 issue types, 1 indicator type. On this profile, record any layouts, issue types or dashboards that are missing.</t>
        </is>
      </c>
      <c r="G9" s="12" t="n"/>
      <c r="H9" s="12" t="n"/>
      <c r="I9" s="12" t="inlineStr">
        <is>
          <t>Not run</t>
        </is>
      </c>
      <c r="J9" s="12" t="n"/>
      <c r="K9" s="12" t="n"/>
      <c r="L9" s="13" t="n"/>
      <c r="M9" s="12" t="n"/>
    </row>
    <row r="10">
      <c r="A10" s="12" t="inlineStr">
        <is>
          <t>P2</t>
        </is>
      </c>
      <c r="B10" s="12" t="inlineStr">
        <is>
          <t>1 No model</t>
        </is>
      </c>
      <c r="C10" s="12" t="inlineStr">
        <is>
          <t>1 Preflight</t>
        </is>
      </c>
      <c r="D10" s="12" t="inlineStr">
        <is>
          <t>Content editable</t>
        </is>
      </c>
      <c r="E10" s="12" t="inlineStr">
        <is>
          <t>Open one Guardian automation and one Guardian list.</t>
        </is>
      </c>
      <c r="F10" s="12" t="inlineStr">
        <is>
          <t>If the content was installed item by item (not as a pack), both can be edited. A pack install makes them read-only. Record which you have.</t>
        </is>
      </c>
      <c r="G10" s="12" t="n"/>
      <c r="H10" s="12" t="n"/>
      <c r="I10" s="12" t="inlineStr">
        <is>
          <t>Not run</t>
        </is>
      </c>
      <c r="J10" s="12" t="n"/>
      <c r="K10" s="12" t="n"/>
      <c r="L10" s="13" t="n"/>
      <c r="M10" s="12" t="n"/>
    </row>
    <row r="11">
      <c r="A11" s="12" t="inlineStr">
        <is>
          <t>P3</t>
        </is>
      </c>
      <c r="B11" s="12" t="inlineStr">
        <is>
          <t>1 No model</t>
        </is>
      </c>
      <c r="C11" s="12" t="inlineStr">
        <is>
          <t>1 Preflight</t>
        </is>
      </c>
      <c r="D11" s="12" t="inlineStr">
        <is>
          <t>Playbooks adopted</t>
        </is>
      </c>
      <c r="E11" s="12" t="inlineStr">
        <is>
          <t>Open the playbooks GuardianInvestigateIssue and GuardianHousekeeping.</t>
        </is>
      </c>
      <c r="F11" s="12" t="inlineStr">
        <is>
          <t>No "playbook is not adopted" message. If there is one, adopt the playbooks (docs/cortex-platform/README.md, "Adopt the playbooks").</t>
        </is>
      </c>
      <c r="G11" s="12" t="n"/>
      <c r="H11" s="12" t="n"/>
      <c r="I11" s="12" t="inlineStr">
        <is>
          <t>Not run</t>
        </is>
      </c>
      <c r="J11" s="12" t="n"/>
      <c r="K11" s="12" t="n"/>
      <c r="L11" s="13" t="n"/>
      <c r="M11" s="12" t="n"/>
    </row>
    <row r="12">
      <c r="A12" s="12" t="inlineStr">
        <is>
          <t>P4</t>
        </is>
      </c>
      <c r="B12" s="12" t="inlineStr">
        <is>
          <t>1 No model</t>
        </is>
      </c>
      <c r="C12" s="12" t="inlineStr">
        <is>
          <t>1 Preflight</t>
        </is>
      </c>
      <c r="D12" s="12" t="inlineStr">
        <is>
          <t>Core REST API instance</t>
        </is>
      </c>
      <c r="E12" s="12" t="inlineStr">
        <is>
          <t>Create a Core REST API instance (docs/cortex-platform/README.md, "Prerequisites"): the Core Server URL from Copy API URL, the Standard key ID and key. Press Test, then run !core-api-post uri=/settings/integration/search body={"size":1}</t>
        </is>
      </c>
      <c r="F12" s="12" t="inlineStr">
        <is>
          <t>Success, then a JSON result with no error. This is not a model. Guardian uses it to write results onto the issue, to read the provider instances (!guardian-model, the model probe), and for housekeeping, case capture and simulated issues. Without it, those fail and the run summary on the issue stays empty.</t>
        </is>
      </c>
      <c r="G12" s="12" t="n"/>
      <c r="H12" s="12" t="n"/>
      <c r="I12" s="12" t="inlineStr">
        <is>
          <t>Not run</t>
        </is>
      </c>
      <c r="J12" s="12" t="n"/>
      <c r="K12" s="12" t="n"/>
      <c r="L12" s="13" t="n"/>
      <c r="M12" s="12" t="n"/>
    </row>
    <row r="13">
      <c r="A13" s="12" t="inlineStr">
        <is>
          <t>P5</t>
        </is>
      </c>
      <c r="B13" s="12" t="inlineStr">
        <is>
          <t>1 No model</t>
        </is>
      </c>
      <c r="C13" s="12" t="inlineStr">
        <is>
          <t>1 Preflight</t>
        </is>
      </c>
      <c r="D13" s="12" t="inlineStr">
        <is>
          <t>Bootstrap</t>
        </is>
      </c>
      <c r="E13" s="12" t="inlineStr">
        <is>
          <t>!GuardianBootstrap</t>
        </is>
      </c>
      <c r="F13" s="12" t="inlineStr">
        <is>
          <t>It creates the runtime lists: guardian_kill_switch, guardian_audit, guardian_cost_ledger, guardian_memory, guardian_approvals_ledger, guardian_jobs_registry, guardian_seed_version, guardian_skills_crud_index, guardian_model_calibration, guardian_model_profile. Run it before every other test: nothing else creates these lists. Running it again is safe.</t>
        </is>
      </c>
      <c r="G13" s="12" t="n"/>
      <c r="H13" s="12" t="n"/>
      <c r="I13" s="12" t="inlineStr">
        <is>
          <t>Not run</t>
        </is>
      </c>
      <c r="J13" s="12" t="n"/>
      <c r="K13" s="12" t="n"/>
      <c r="L13" s="13" t="n"/>
      <c r="M13" s="12" t="n"/>
    </row>
    <row r="14">
      <c r="A14" s="12" t="inlineStr">
        <is>
          <t>P6</t>
        </is>
      </c>
      <c r="B14" s="12" t="inlineStr">
        <is>
          <t>1 No model</t>
        </is>
      </c>
      <c r="C14" s="12" t="inlineStr">
        <is>
          <t>1 Preflight</t>
        </is>
      </c>
      <c r="D14" s="12" t="inlineStr">
        <is>
          <t>Ping and diagnostics</t>
        </is>
      </c>
      <c r="E14" s="12" t="inlineStr">
        <is>
          <t>!GuardianPing, then !GuardianDiagnostics</t>
        </is>
      </c>
      <c r="F14" s="12" t="inlineStr">
        <is>
          <t>pong, then a health summary of the enabled integration instances, which include the Core REST API instance. No Guardian provider instance exists yet. Record any errors it reports.</t>
        </is>
      </c>
      <c r="G14" s="12" t="n"/>
      <c r="H14" s="12" t="n"/>
      <c r="I14" s="12" t="inlineStr">
        <is>
          <t>Not run</t>
        </is>
      </c>
      <c r="J14" s="12" t="n"/>
      <c r="K14" s="12" t="n"/>
      <c r="L14" s="13" t="n"/>
      <c r="M14" s="12" t="n"/>
    </row>
    <row r="15">
      <c r="A15" s="12" t="inlineStr">
        <is>
          <t>P7</t>
        </is>
      </c>
      <c r="B15" s="12" t="inlineStr">
        <is>
          <t>1 No model</t>
        </is>
      </c>
      <c r="C15" s="12" t="inlineStr">
        <is>
          <t>1 Preflight</t>
        </is>
      </c>
      <c r="D15" s="12" t="inlineStr">
        <is>
          <t>Help card</t>
        </is>
      </c>
      <c r="E15" s="12" t="inlineStr">
        <is>
          <t>!guardian-help</t>
        </is>
      </c>
      <c r="F15" s="12" t="inlineStr">
        <is>
          <t>The command card.</t>
        </is>
      </c>
      <c r="G15" s="12" t="n"/>
      <c r="H15" s="12" t="n"/>
      <c r="I15" s="12" t="inlineStr">
        <is>
          <t>Not run</t>
        </is>
      </c>
      <c r="J15" s="12" t="n"/>
      <c r="K15" s="12" t="n"/>
      <c r="L15" s="13" t="n"/>
      <c r="M15" s="12" t="n"/>
    </row>
    <row r="16">
      <c r="A16" s="12" t="inlineStr">
        <is>
          <t>P8</t>
        </is>
      </c>
      <c r="B16" s="12" t="inlineStr">
        <is>
          <t>1 No model</t>
        </is>
      </c>
      <c r="C16" s="12" t="inlineStr">
        <is>
          <t>1 Preflight</t>
        </is>
      </c>
      <c r="D16" s="12" t="inlineStr">
        <is>
          <t>No provider yet</t>
        </is>
      </c>
      <c r="E16" s="12" t="inlineStr">
        <is>
          <t>!guardian-model</t>
        </is>
      </c>
      <c r="F16" s="12" t="inlineStr">
        <is>
          <t>"No Guardian LLM provider integration (offering guardian-llm-chat) is configured on this server." This is the expected starting point; M4 repeats it with a model.</t>
        </is>
      </c>
      <c r="G16" s="12" t="n"/>
      <c r="H16" s="12" t="n"/>
      <c r="I16" s="12" t="inlineStr">
        <is>
          <t>Not run</t>
        </is>
      </c>
      <c r="J16" s="12" t="n"/>
      <c r="K16" s="12" t="n"/>
      <c r="L16" s="13" t="n"/>
      <c r="M16" s="12" t="n"/>
    </row>
    <row r="17">
      <c r="A17" s="12" t="inlineStr">
        <is>
          <t>P9</t>
        </is>
      </c>
      <c r="B17" s="12" t="inlineStr">
        <is>
          <t>1 No model</t>
        </is>
      </c>
      <c r="C17" s="12" t="inlineStr">
        <is>
          <t>1 Preflight</t>
        </is>
      </c>
      <c r="D17" s="12" t="inlineStr">
        <is>
          <t>Model profile defaults</t>
        </is>
      </c>
      <c r="E17" s="12" t="inlineStr">
        <is>
          <t>!GuardianModelProfileCheck</t>
        </is>
      </c>
      <c r="F17" s="12" t="inlineStr">
        <is>
          <t>The model size, input budget and tool-list budget a run would use, each with its source (override, catalogue, documented, confirmed or measured profile, settings or default). With no provider yet, the size comes from guardian_settings or the default (small) and the budget from guardian_settings. Record any warning it shows. M8 repeats it.</t>
        </is>
      </c>
      <c r="G17" s="12" t="n"/>
      <c r="H17" s="12" t="n"/>
      <c r="I17" s="12" t="inlineStr">
        <is>
          <t>Not run</t>
        </is>
      </c>
      <c r="J17" s="12" t="n"/>
      <c r="K17" s="12" t="n"/>
      <c r="L17" s="13" t="n"/>
      <c r="M17" s="12" t="n"/>
    </row>
    <row r="18">
      <c r="A18" s="12" t="inlineStr">
        <is>
          <t>P10</t>
        </is>
      </c>
      <c r="B18" s="12" t="inlineStr">
        <is>
          <t>1 No model</t>
        </is>
      </c>
      <c r="C18" s="12" t="inlineStr">
        <is>
          <t>1 Preflight</t>
        </is>
      </c>
      <c r="D18" s="12" t="inlineStr">
        <is>
          <t>Custom issue fields</t>
        </is>
      </c>
      <c r="E18" s="12" t="inlineStr">
        <is>
          <t>Create one simulated issue: !GuardianSimulateIncidents scenario=benign_fp count=1 (it writes the Guardian field guardiantriggersource on the new issue). If its output has no "field write failed" warning, read the issue back: !core-api-post uri=/incidents/search body={"filter":{"id":["&lt;new issue id&gt;"]}} and look for guardiantriggersource under CustomFields.</t>
        </is>
      </c>
      <c r="F18" s="12" t="inlineStr">
        <is>
          <t>Record one of three: STORED (the field is in CustomFields: this tenant supports Guardian's custom issue fields); REJECTED (the output warns that the field write failed); DROPPED (no warning, but the field is missing). For REJECTED or DROPPED, mark every test whose Steps start with "Needs custom issue fields" as N/A. Then open the list guardian_settings and add "incident_fields_enabled": false, so investigations skip the field writes from the start.</t>
        </is>
      </c>
      <c r="G18" s="12" t="n"/>
      <c r="H18" s="12" t="n"/>
      <c r="I18" s="12" t="inlineStr">
        <is>
          <t>Not run</t>
        </is>
      </c>
      <c r="J18" s="12" t="n"/>
      <c r="K18" s="12" t="n"/>
      <c r="L18" s="13" t="n"/>
      <c r="M18" s="12" t="n"/>
    </row>
    <row r="19">
      <c r="A19" s="12" t="inlineStr">
        <is>
          <t>L1</t>
        </is>
      </c>
      <c r="B19" s="12" t="inlineStr">
        <is>
          <t>1 No model</t>
        </is>
      </c>
      <c r="C19" s="12" t="inlineStr">
        <is>
          <t>2 Control lists</t>
        </is>
      </c>
      <c r="D19" s="12" t="inlineStr">
        <is>
          <t>Lists return plain JSON</t>
        </is>
      </c>
      <c r="E19" s="12" t="inlineStr">
        <is>
          <t>!getList listName=&lt;name&gt; for each of: guardian_settings, guardian_policy, guardian_tool_allowlist, guardian_tool_denylist, guardian_preapproved</t>
        </is>
      </c>
      <c r="F19" s="12" t="inlineStr">
        <is>
          <t>Each returns the list's own JSON. It must not start with a {"id": ..., "version": -1 wrapper; if it does, the list was uploaded wrongly (see docs/cortex-platform/MANUAL_UPLOAD.md).</t>
        </is>
      </c>
      <c r="G19" s="12" t="n"/>
      <c r="H19" s="12" t="n"/>
      <c r="I19" s="12" t="inlineStr">
        <is>
          <t>Not run</t>
        </is>
      </c>
      <c r="J19" s="12" t="n"/>
      <c r="K19" s="12" t="n"/>
      <c r="L19" s="13" t="n"/>
      <c r="M19" s="12" t="n"/>
    </row>
    <row r="20">
      <c r="A20" s="12" t="inlineStr">
        <is>
          <t>L2</t>
        </is>
      </c>
      <c r="B20" s="12" t="inlineStr">
        <is>
          <t>1 No model</t>
        </is>
      </c>
      <c r="C20" s="12" t="inlineStr">
        <is>
          <t>2 Control lists</t>
        </is>
      </c>
      <c r="D20" s="12" t="inlineStr">
        <is>
          <t>Settings limits</t>
        </is>
      </c>
      <c r="E20" s="12" t="inlineStr">
        <is>
          <t>!getList listName=guardian_settings</t>
        </is>
      </c>
      <c r="F20" s="12" t="inlineStr">
        <is>
          <t>Note the limits: tick_cadence_seconds 15 and approval_sla_minutes 60. The turn limit is not in the list: it follows the model size (60 for a large model), and !guardian-model shows it. Also note model_tier "auto" (the size comes from the model catalogue; small, medium or large is set here only for a model that is not in the catalogue), max_input_tokens 28258 (the input budget used only until the model's window is known, from the catalogue or a probe) and incident_fields_enabled (true; P10 may set it to false). The tool-result, history and incident-details limits are no longer in the list: they follow the model's input budget. No input budget is capped. Change nothing now.</t>
        </is>
      </c>
      <c r="G20" s="12" t="n"/>
      <c r="H20" s="12" t="n"/>
      <c r="I20" s="12" t="inlineStr">
        <is>
          <t>Not run</t>
        </is>
      </c>
      <c r="J20" s="12" t="n"/>
      <c r="K20" s="12" t="n"/>
      <c r="L20" s="13" t="n"/>
      <c r="M20" s="12" t="n"/>
    </row>
    <row r="21">
      <c r="A21" s="12" t="inlineStr">
        <is>
          <t>L3</t>
        </is>
      </c>
      <c r="B21" s="12" t="inlineStr">
        <is>
          <t>1 No model</t>
        </is>
      </c>
      <c r="C21" s="12" t="inlineStr">
        <is>
          <t>2 Control lists</t>
        </is>
      </c>
      <c r="D21" s="12" t="inlineStr">
        <is>
          <t>Tool allowlist</t>
        </is>
      </c>
      <c r="E21" s="12" t="inlineStr">
        <is>
          <t>!getList listName=guardian_tool_allowlist</t>
        </is>
      </c>
      <c r="F21" s="12" t="inlineStr">
        <is>
          <t>64 read-oriented commands, among them GuardianSkillRead, getIncidents, findIndicators, and the platform reads core-get-issues, core-get-cases, core-get-endpoints and xdr-xql-generic-query. No command that changes anything.</t>
        </is>
      </c>
      <c r="G21" s="12" t="n"/>
      <c r="H21" s="12" t="n"/>
      <c r="I21" s="12" t="inlineStr">
        <is>
          <t>Not run</t>
        </is>
      </c>
      <c r="J21" s="12" t="n"/>
      <c r="K21" s="12" t="n"/>
      <c r="L21" s="13" t="n"/>
      <c r="M21" s="12" t="n"/>
    </row>
    <row r="22">
      <c r="A22" s="12" t="inlineStr">
        <is>
          <t>L4</t>
        </is>
      </c>
      <c r="B22" s="12" t="inlineStr">
        <is>
          <t>1 No model</t>
        </is>
      </c>
      <c r="C22" s="12" t="inlineStr">
        <is>
          <t>2 Control lists</t>
        </is>
      </c>
      <c r="D22" s="12" t="inlineStr">
        <is>
          <t>Tool denylist</t>
        </is>
      </c>
      <c r="E22" s="12" t="inlineStr">
        <is>
          <t>!getList listName=guardian_tool_denylist</t>
        </is>
      </c>
      <c r="F22" s="12" t="inlineStr">
        <is>
          <t>13 protected lists and 34 denied entries, among them the writes to the control lists, core-api-get, core-api-post and core-delete-incidents.</t>
        </is>
      </c>
      <c r="G22" s="12" t="n"/>
      <c r="H22" s="12" t="n"/>
      <c r="I22" s="12" t="inlineStr">
        <is>
          <t>Not run</t>
        </is>
      </c>
      <c r="J22" s="12" t="n"/>
      <c r="K22" s="12" t="n"/>
      <c r="L22" s="13" t="n"/>
      <c r="M22" s="12" t="n"/>
    </row>
    <row r="23">
      <c r="A23" s="12" t="inlineStr">
        <is>
          <t>L5</t>
        </is>
      </c>
      <c r="B23" s="12" t="inlineStr">
        <is>
          <t>1 No model</t>
        </is>
      </c>
      <c r="C23" s="12" t="inlineStr">
        <is>
          <t>2 Control lists</t>
        </is>
      </c>
      <c r="D23" s="12" t="inlineStr">
        <is>
          <t>Approval policy</t>
        </is>
      </c>
      <c r="E23" s="12" t="inlineStr">
        <is>
          <t>!getList listName=guardian_policy</t>
        </is>
      </c>
      <c r="F23" s="12" t="inlineStr">
        <is>
          <t>Every command in it is require_approval: 148 commands, among them closeInvestigation, setIncident, setList and the platform commands that change something.</t>
        </is>
      </c>
      <c r="G23" s="12" t="n"/>
      <c r="H23" s="12" t="n"/>
      <c r="I23" s="12" t="inlineStr">
        <is>
          <t>Not run</t>
        </is>
      </c>
      <c r="J23" s="12" t="n"/>
      <c r="K23" s="12" t="n"/>
      <c r="L23" s="13" t="n"/>
      <c r="M23" s="12" t="n"/>
    </row>
    <row r="24">
      <c r="A24" s="12" t="inlineStr">
        <is>
          <t>L6</t>
        </is>
      </c>
      <c r="B24" s="12" t="inlineStr">
        <is>
          <t>1 No model</t>
        </is>
      </c>
      <c r="C24" s="12" t="inlineStr">
        <is>
          <t>2 Control lists</t>
        </is>
      </c>
      <c r="D24" s="12" t="inlineStr">
        <is>
          <t>Pre-approved actions</t>
        </is>
      </c>
      <c r="E24" s="12" t="inlineStr">
        <is>
          <t>!getList listName=guardian_preapproved</t>
        </is>
      </c>
      <c r="F24" s="12" t="inlineStr">
        <is>
          <t>Two classes, xdr-endpoint-tag-add and GuardianContainmentSimulate. They run without a person only on an issue in bypass mode (X2).</t>
        </is>
      </c>
      <c r="G24" s="12" t="n"/>
      <c r="H24" s="12" t="n"/>
      <c r="I24" s="12" t="inlineStr">
        <is>
          <t>Not run</t>
        </is>
      </c>
      <c r="J24" s="12" t="n"/>
      <c r="K24" s="12" t="n"/>
      <c r="L24" s="13" t="n"/>
      <c r="M24" s="12" t="n"/>
    </row>
    <row r="25">
      <c r="A25" s="12" t="inlineStr">
        <is>
          <t>L7</t>
        </is>
      </c>
      <c r="B25" s="12" t="inlineStr">
        <is>
          <t>1 No model</t>
        </is>
      </c>
      <c r="C25" s="12" t="inlineStr">
        <is>
          <t>2 Control lists</t>
        </is>
      </c>
      <c r="D25" s="12" t="inlineStr">
        <is>
          <t>Pricing rows</t>
        </is>
      </c>
      <c r="E25" s="12" t="inlineStr">
        <is>
          <t>!getList listName=guardian_pricing</t>
        </is>
      </c>
      <c r="F25" s="12" t="inlineStr">
        <is>
          <t>Price rows for gemini-2.5-flash, gpt-5-mini, command-r:35b, cohere-command-a and gpt-oss-120b. Record whether the model you will use in Part 2 has a row. Without one, its cost shows as $0 (I10).</t>
        </is>
      </c>
      <c r="G25" s="12" t="n"/>
      <c r="H25" s="12" t="n"/>
      <c r="I25" s="12" t="inlineStr">
        <is>
          <t>Not run</t>
        </is>
      </c>
      <c r="J25" s="12" t="n"/>
      <c r="K25" s="12" t="n"/>
      <c r="L25" s="13" t="n"/>
      <c r="M25" s="12" t="n"/>
    </row>
    <row r="26">
      <c r="A26" s="12" t="inlineStr">
        <is>
          <t>L8</t>
        </is>
      </c>
      <c r="B26" s="12" t="inlineStr">
        <is>
          <t>1 No model</t>
        </is>
      </c>
      <c r="C26" s="12" t="inlineStr">
        <is>
          <t>2 Control lists</t>
        </is>
      </c>
      <c r="D26" s="12" t="inlineStr">
        <is>
          <t>Skills and knowledge base</t>
        </is>
      </c>
      <c r="E26" s="12" t="inlineStr">
        <is>
          <t>!getList listName=guardian_skills_index, then !getList listName=guardian_kb_soc_investigation</t>
        </is>
      </c>
      <c r="F26" s="12" t="inlineStr">
        <is>
          <t>Ten skills: cortex_issue_reference, cortex_xql, cortex_detection_investigation, cortex_posture_misconfiguration, cortex_identity_risk, cortex_vulnerability_triage, cortex_attack_path, cortex_case_investigation, build_cortex_playbook and cortex_triage. Then 43 knowledge-base entries, each with an ATT&amp;CK technique.</t>
        </is>
      </c>
      <c r="G26" s="12" t="n"/>
      <c r="H26" s="12" t="n"/>
      <c r="I26" s="12" t="inlineStr">
        <is>
          <t>Not run</t>
        </is>
      </c>
      <c r="J26" s="12" t="n"/>
      <c r="K26" s="12" t="n"/>
      <c r="L26" s="13" t="n"/>
      <c r="M26" s="12" t="n"/>
    </row>
    <row r="27">
      <c r="A27" s="12" t="inlineStr">
        <is>
          <t>L9</t>
        </is>
      </c>
      <c r="B27" s="12" t="inlineStr">
        <is>
          <t>1 No model</t>
        </is>
      </c>
      <c r="C27" s="12" t="inlineStr">
        <is>
          <t>2 Control lists</t>
        </is>
      </c>
      <c r="D27" s="12" t="inlineStr">
        <is>
          <t>Model catalogue</t>
        </is>
      </c>
      <c r="E27" s="12" t="inlineStr">
        <is>
          <t>!getList listName=guardian_model_catalog. The list is large (about 85 KB): check only that it opens as plain JSON, then search the War Room entry for the model you will use in Part 2 (for example gpt-5-mini).</t>
        </is>
      </c>
      <c r="F27" s="12" t="inlineStr">
        <is>
          <t>Plain JSON with "checked":"2026-10-09" and 146 models. Record whether your model is listed and its probe value: skip (a closed frontier model: its documented limits are used without a probe, M14) or confirm (an open-weight model: M7 confirms the window it is served with). A model that is not listed is sized by M7.</t>
        </is>
      </c>
      <c r="G27" s="12" t="n"/>
      <c r="H27" s="12" t="inlineStr">
        <is>
          <t>Yes</t>
        </is>
      </c>
      <c r="I27" s="12" t="inlineStr">
        <is>
          <t>Not run</t>
        </is>
      </c>
      <c r="J27" s="12" t="n"/>
      <c r="K27" s="12" t="n"/>
      <c r="L27" s="13" t="n"/>
      <c r="M27" s="12" t="n"/>
    </row>
    <row r="28">
      <c r="A28" s="12" t="inlineStr">
        <is>
          <t>H1</t>
        </is>
      </c>
      <c r="B28" s="12" t="inlineStr">
        <is>
          <t>1 No model</t>
        </is>
      </c>
      <c r="C28" s="12" t="inlineStr">
        <is>
          <t>3 Tools and costs</t>
        </is>
      </c>
      <c r="D28" s="12" t="inlineStr">
        <is>
          <t>Tool catalogue</t>
        </is>
      </c>
      <c r="E28" s="12" t="inlineStr">
        <is>
          <t>!guardian-tools</t>
        </is>
      </c>
      <c r="F28" s="12" t="inlineStr">
        <is>
          <t>The tools the model will be offered: the allowlist, less the denylist, less commands this tenant does not have, trimmed to the token budget. Record which platform commands appear, and the Dropped by token budget row. This tenant may not have every module, so some of core-get-issues, core-get-cases, core-get-endpoints, core-list-risky-hosts, core-list-risky-users and xdr-xql-generic-query can be missing. A missing tool narrows what the agent can check. M8 repeats this after the model is sized.</t>
        </is>
      </c>
      <c r="G28" s="12" t="n"/>
      <c r="H28" s="12" t="n"/>
      <c r="I28" s="12" t="inlineStr">
        <is>
          <t>Not run</t>
        </is>
      </c>
      <c r="J28" s="12" t="n"/>
      <c r="K28" s="12" t="n"/>
      <c r="L28" s="13" t="n"/>
      <c r="M28" s="12" t="n"/>
    </row>
    <row r="29">
      <c r="A29" s="12" t="inlineStr">
        <is>
          <t>H2</t>
        </is>
      </c>
      <c r="B29" s="12" t="inlineStr">
        <is>
          <t>1 No model</t>
        </is>
      </c>
      <c r="C29" s="12" t="inlineStr">
        <is>
          <t>3 Tools and costs</t>
        </is>
      </c>
      <c r="D29" s="12" t="inlineStr">
        <is>
          <t>Cost report (zero)</t>
        </is>
      </c>
      <c r="E29" s="12" t="inlineStr">
        <is>
          <t>!guardian-cost</t>
        </is>
      </c>
      <c r="F29" s="12" t="inlineStr">
        <is>
          <t>"No cost has been recorded yet": no model call has been made.</t>
        </is>
      </c>
      <c r="G29" s="12" t="n"/>
      <c r="H29" s="12" t="n"/>
      <c r="I29" s="12" t="inlineStr">
        <is>
          <t>Not run</t>
        </is>
      </c>
      <c r="J29" s="12" t="n"/>
      <c r="K29" s="12" t="n"/>
      <c r="L29" s="13" t="n"/>
      <c r="M29" s="12" t="n"/>
    </row>
    <row r="30">
      <c r="A30" s="12" t="inlineStr">
        <is>
          <t>S1</t>
        </is>
      </c>
      <c r="B30" s="12" t="inlineStr">
        <is>
          <t>1 No model</t>
        </is>
      </c>
      <c r="C30" s="12" t="inlineStr">
        <is>
          <t>4 Safeguards</t>
        </is>
      </c>
      <c r="D30" s="12" t="inlineStr">
        <is>
          <t>Allowed skill read</t>
        </is>
      </c>
      <c r="E30" s="12" t="inlineStr">
        <is>
          <t>!GuardianToolBridge tool_name=GuardianSkillRead tool_args={"name":"cortex_triage"}</t>
        </is>
      </c>
      <c r="F30" s="12" t="inlineStr">
        <is>
          <t>status=ok and the skill text. An allowed read runs.</t>
        </is>
      </c>
      <c r="G30" s="12" t="n"/>
      <c r="H30" s="12" t="n"/>
      <c r="I30" s="12" t="inlineStr">
        <is>
          <t>Not run</t>
        </is>
      </c>
      <c r="J30" s="12" t="n"/>
      <c r="K30" s="12" t="n"/>
      <c r="L30" s="13" t="n"/>
      <c r="M30" s="12" t="n"/>
    </row>
    <row r="31">
      <c r="A31" s="12" t="inlineStr">
        <is>
          <t>S2</t>
        </is>
      </c>
      <c r="B31" s="12" t="inlineStr">
        <is>
          <t>1 No model</t>
        </is>
      </c>
      <c r="C31" s="12" t="inlineStr">
        <is>
          <t>4 Safeguards</t>
        </is>
      </c>
      <c r="D31" s="12" t="inlineStr">
        <is>
          <t>Allowed issue read</t>
        </is>
      </c>
      <c r="E31" s="12" t="inlineStr">
        <is>
          <t>!GuardianToolBridge tool_name=getIncidents tool_args={"id":"&lt;workbench issue id&gt;"}</t>
        </is>
      </c>
      <c r="F31" s="12" t="inlineStr">
        <is>
          <t>status=ok and the issue data.</t>
        </is>
      </c>
      <c r="G31" s="12" t="n"/>
      <c r="H31" s="12" t="n"/>
      <c r="I31" s="12" t="inlineStr">
        <is>
          <t>Not run</t>
        </is>
      </c>
      <c r="J31" s="12" t="n"/>
      <c r="K31" s="12" t="n"/>
      <c r="L31" s="13" t="n"/>
      <c r="M31" s="12" t="n"/>
    </row>
    <row r="32">
      <c r="A32" s="12" t="inlineStr">
        <is>
          <t>S3</t>
        </is>
      </c>
      <c r="B32" s="12" t="inlineStr">
        <is>
          <t>1 No model</t>
        </is>
      </c>
      <c r="C32" s="12" t="inlineStr">
        <is>
          <t>4 Safeguards</t>
        </is>
      </c>
      <c r="D32" s="12" t="inlineStr">
        <is>
          <t>Destructive action held</t>
        </is>
      </c>
      <c r="E32" s="12" t="inlineStr">
        <is>
          <t>!GuardianToolBridge tool_name=closeInvestigation tool_args={"id":"&lt;spare issue id&gt;"}, then !guardian-deny approval_id=&lt;ID&gt; reason="safeguard test" with the id it printed</t>
        </is>
      </c>
      <c r="F32" s="12" t="inlineStr">
        <is>
          <t>First "Action requires approval", with an approval id and risk tier destructive. Nothing is closed. Then "DENIED". A command that changes something never runs without a person. The spare issue is the target so that a mistaken approval closes nothing that matters.</t>
        </is>
      </c>
      <c r="G32" s="12" t="n"/>
      <c r="H32" s="12" t="n"/>
      <c r="I32" s="12" t="inlineStr">
        <is>
          <t>Not run</t>
        </is>
      </c>
      <c r="J32" s="12" t="n"/>
      <c r="K32" s="12" t="n"/>
      <c r="L32" s="13" t="n"/>
      <c r="M32" s="12" t="n"/>
    </row>
    <row r="33">
      <c r="A33" s="12" t="inlineStr">
        <is>
          <t>S4</t>
        </is>
      </c>
      <c r="B33" s="12" t="inlineStr">
        <is>
          <t>1 No model</t>
        </is>
      </c>
      <c r="C33" s="12" t="inlineStr">
        <is>
          <t>4 Safeguards</t>
        </is>
      </c>
      <c r="D33" s="12" t="inlineStr">
        <is>
          <t>Denylisted command denied</t>
        </is>
      </c>
      <c r="E33" s="12" t="inlineStr">
        <is>
          <t>!GuardianToolBridge tool_name=core-api-get tool_args={"uri":"/health"}</t>
        </is>
      </c>
      <c r="F33" s="12" t="inlineStr">
        <is>
          <t>status=denied (on the denylist).</t>
        </is>
      </c>
      <c r="G33" s="12" t="n"/>
      <c r="H33" s="12" t="n"/>
      <c r="I33" s="12" t="inlineStr">
        <is>
          <t>Not run</t>
        </is>
      </c>
      <c r="J33" s="12" t="n"/>
      <c r="K33" s="12" t="n"/>
      <c r="L33" s="13" t="n"/>
      <c r="M33" s="12" t="n"/>
    </row>
    <row r="34">
      <c r="A34" s="12" t="inlineStr">
        <is>
          <t>S5</t>
        </is>
      </c>
      <c r="B34" s="12" t="inlineStr">
        <is>
          <t>1 No model</t>
        </is>
      </c>
      <c r="C34" s="12" t="inlineStr">
        <is>
          <t>4 Safeguards</t>
        </is>
      </c>
      <c r="D34" s="12" t="inlineStr">
        <is>
          <t>Unknown command denied</t>
        </is>
      </c>
      <c r="E34" s="12" t="inlineStr">
        <is>
          <t>!GuardianToolBridge tool_name=NotARealCommand tool_args={}</t>
        </is>
      </c>
      <c r="F34" s="12" t="inlineStr">
        <is>
          <t>status=denied: neither allowed nor in the policy, so refused by default.</t>
        </is>
      </c>
      <c r="G34" s="12" t="n"/>
      <c r="H34" s="12" t="n"/>
      <c r="I34" s="12" t="inlineStr">
        <is>
          <t>Not run</t>
        </is>
      </c>
      <c r="J34" s="12" t="n"/>
      <c r="K34" s="12" t="n"/>
      <c r="L34" s="13" t="n"/>
      <c r="M34" s="12" t="n"/>
    </row>
    <row r="35">
      <c r="A35" s="12" t="inlineStr">
        <is>
          <t>S6</t>
        </is>
      </c>
      <c r="B35" s="12" t="inlineStr">
        <is>
          <t>1 No model</t>
        </is>
      </c>
      <c r="C35" s="12" t="inlineStr">
        <is>
          <t>4 Safeguards</t>
        </is>
      </c>
      <c r="D35" s="12" t="inlineStr">
        <is>
          <t>Tool ledger rows</t>
        </is>
      </c>
      <c r="E35" s="12" t="inlineStr">
        <is>
          <t>!GuardianLayoutToolLedger</t>
        </is>
      </c>
      <c r="F35" s="12" t="inlineStr">
        <is>
          <t>One row for each of S1 to S5, with the status each one got.</t>
        </is>
      </c>
      <c r="G35" s="12" t="n"/>
      <c r="H35" s="12" t="n"/>
      <c r="I35" s="12" t="inlineStr">
        <is>
          <t>Not run</t>
        </is>
      </c>
      <c r="J35" s="12" t="n"/>
      <c r="K35" s="12" t="n"/>
      <c r="L35" s="13" t="n"/>
      <c r="M35" s="12" t="n"/>
    </row>
    <row r="36">
      <c r="A36" s="12" t="inlineStr">
        <is>
          <t>A1</t>
        </is>
      </c>
      <c r="B36" s="12" t="inlineStr">
        <is>
          <t>1 No model</t>
        </is>
      </c>
      <c r="C36" s="12" t="inlineStr">
        <is>
          <t>5 Human approval</t>
        </is>
      </c>
      <c r="D36" s="12" t="inlineStr">
        <is>
          <t>Hold an action</t>
        </is>
      </c>
      <c r="E36" s="12" t="inlineStr">
        <is>
          <t>Hold: !GuardianToolBridge tool_name=GuardianContainmentSimulate tool_args={"endpoint_id":"lab-host-01","reason":"gate-test"}</t>
        </is>
      </c>
      <c r="F36" s="12" t="inlineStr">
        <is>
          <t>"Action requires approval", with an approval id and risk tier soft. Nothing runs.</t>
        </is>
      </c>
      <c r="G36" s="12" t="n"/>
      <c r="H36" s="12" t="n"/>
      <c r="I36" s="12" t="inlineStr">
        <is>
          <t>Not run</t>
        </is>
      </c>
      <c r="J36" s="12" t="n"/>
      <c r="K36" s="12" t="n"/>
      <c r="L36" s="13" t="n"/>
      <c r="M36" s="12" t="n"/>
    </row>
    <row r="37">
      <c r="A37" s="12" t="inlineStr">
        <is>
          <t>A2</t>
        </is>
      </c>
      <c r="B37" s="12" t="inlineStr">
        <is>
          <t>1 No model</t>
        </is>
      </c>
      <c r="C37" s="12" t="inlineStr">
        <is>
          <t>5 Human approval</t>
        </is>
      </c>
      <c r="D37" s="12" t="inlineStr">
        <is>
          <t>Pending approval listed</t>
        </is>
      </c>
      <c r="E37" s="12" t="inlineStr">
        <is>
          <t>!GuardianWidgetApprovalsQueue, then !GuardianLayoutRecommendedActions</t>
        </is>
      </c>
      <c r="F37" s="12" t="inlineStr">
        <is>
          <t>Both list the pending approval with the same id.</t>
        </is>
      </c>
      <c r="G37" s="12" t="n"/>
      <c r="H37" s="12" t="n"/>
      <c r="I37" s="12" t="inlineStr">
        <is>
          <t>Not run</t>
        </is>
      </c>
      <c r="J37" s="12" t="n"/>
      <c r="K37" s="12" t="n"/>
      <c r="L37" s="13" t="n"/>
      <c r="M37" s="12" t="n"/>
    </row>
    <row r="38">
      <c r="A38" s="12" t="inlineStr">
        <is>
          <t>A3</t>
        </is>
      </c>
      <c r="B38" s="12" t="inlineStr">
        <is>
          <t>1 No model</t>
        </is>
      </c>
      <c r="C38" s="12" t="inlineStr">
        <is>
          <t>5 Human approval</t>
        </is>
      </c>
      <c r="D38" s="12" t="inlineStr">
        <is>
          <t>Approve the action</t>
        </is>
      </c>
      <c r="E38" s="12" t="inlineStr">
        <is>
          <t>!guardian-approve approval_id=&lt;ID&gt;</t>
        </is>
      </c>
      <c r="F38" s="12" t="inlineStr">
        <is>
          <t>"APPROVED".</t>
        </is>
      </c>
      <c r="G38" s="12" t="n"/>
      <c r="H38" s="12" t="n"/>
      <c r="I38" s="12" t="inlineStr">
        <is>
          <t>Not run</t>
        </is>
      </c>
      <c r="J38" s="12" t="n"/>
      <c r="K38" s="12" t="n"/>
      <c r="L38" s="13" t="n"/>
      <c r="M38" s="12" t="n"/>
    </row>
    <row r="39">
      <c r="A39" s="12" t="inlineStr">
        <is>
          <t>A4</t>
        </is>
      </c>
      <c r="B39" s="12" t="inlineStr">
        <is>
          <t>1 No model</t>
        </is>
      </c>
      <c r="C39" s="12" t="inlineStr">
        <is>
          <t>5 Human approval</t>
        </is>
      </c>
      <c r="D39" s="12" t="inlineStr">
        <is>
          <t>Execute approved action</t>
        </is>
      </c>
      <c r="E39" s="12" t="inlineStr">
        <is>
          <t>Execute: the A1 command with  approval_id=&lt;ID&gt; added at the end.</t>
        </is>
      </c>
      <c r="F39" s="12" t="inlineStr">
        <is>
          <t>status=ok. The action runs once. Do not re-run the plain A1 command: that parks a new approval.</t>
        </is>
      </c>
      <c r="G39" s="12" t="n"/>
      <c r="H39" s="12" t="n"/>
      <c r="I39" s="12" t="inlineStr">
        <is>
          <t>Not run</t>
        </is>
      </c>
      <c r="J39" s="12" t="n"/>
      <c r="K39" s="12" t="n"/>
      <c r="L39" s="13" t="n"/>
      <c r="M39" s="12" t="n"/>
    </row>
    <row r="40">
      <c r="A40" s="12" t="inlineStr">
        <is>
          <t>A5</t>
        </is>
      </c>
      <c r="B40" s="12" t="inlineStr">
        <is>
          <t>1 No model</t>
        </is>
      </c>
      <c r="C40" s="12" t="inlineStr">
        <is>
          <t>5 Human approval</t>
        </is>
      </c>
      <c r="D40" s="12" t="inlineStr">
        <is>
          <t>Replay denied</t>
        </is>
      </c>
      <c r="E40" s="12" t="inlineStr">
        <is>
          <t>Run the A4 command again.</t>
        </is>
      </c>
      <c r="F40" s="12" t="inlineStr">
        <is>
          <t>status=denied, "... already been consumed (replay denied)".</t>
        </is>
      </c>
      <c r="G40" s="12" t="n"/>
      <c r="H40" s="12" t="n"/>
      <c r="I40" s="12" t="inlineStr">
        <is>
          <t>Not run</t>
        </is>
      </c>
      <c r="J40" s="12" t="n"/>
      <c r="K40" s="12" t="n"/>
      <c r="L40" s="13" t="n"/>
      <c r="M40" s="12" t="n"/>
    </row>
    <row r="41">
      <c r="A41" s="12" t="inlineStr">
        <is>
          <t>A6</t>
        </is>
      </c>
      <c r="B41" s="12" t="inlineStr">
        <is>
          <t>1 No model</t>
        </is>
      </c>
      <c r="C41" s="12" t="inlineStr">
        <is>
          <t>5 Human approval</t>
        </is>
      </c>
      <c r="D41" s="12" t="inlineStr">
        <is>
          <t>Deny a second action</t>
        </is>
      </c>
      <c r="E41" s="12" t="inlineStr">
        <is>
          <t>Hold a second action (lab-host-02, reason gate-test-2), then !guardian-deny approval_id=&lt;NEW ID&gt; reason="analyst declines".</t>
        </is>
      </c>
      <c r="F41" s="12" t="inlineStr">
        <is>
          <t>"DENIED".</t>
        </is>
      </c>
      <c r="G41" s="12" t="n"/>
      <c r="H41" s="12" t="n"/>
      <c r="I41" s="12" t="inlineStr">
        <is>
          <t>Not run</t>
        </is>
      </c>
      <c r="J41" s="12" t="n"/>
      <c r="K41" s="12" t="n"/>
      <c r="L41" s="13" t="n"/>
      <c r="M41" s="12" t="n"/>
    </row>
    <row r="42">
      <c r="A42" s="12" t="inlineStr">
        <is>
          <t>A7</t>
        </is>
      </c>
      <c r="B42" s="12" t="inlineStr">
        <is>
          <t>1 No model</t>
        </is>
      </c>
      <c r="C42" s="12" t="inlineStr">
        <is>
          <t>5 Human approval</t>
        </is>
      </c>
      <c r="D42" s="12" t="inlineStr">
        <is>
          <t>Denied action refused</t>
        </is>
      </c>
      <c r="E42" s="12" t="inlineStr">
        <is>
          <t>Execute the second action with the new id.</t>
        </is>
      </c>
      <c r="F42" s="12" t="inlineStr">
        <is>
          <t>status=denied, "... is not approved (status='denied')".</t>
        </is>
      </c>
      <c r="G42" s="12" t="n"/>
      <c r="H42" s="12" t="n"/>
      <c r="I42" s="12" t="inlineStr">
        <is>
          <t>Not run</t>
        </is>
      </c>
      <c r="J42" s="12" t="n"/>
      <c r="K42" s="12" t="n"/>
      <c r="L42" s="13" t="n"/>
      <c r="M42" s="12" t="n"/>
    </row>
    <row r="43">
      <c r="A43" s="12" t="inlineStr">
        <is>
          <t>A8</t>
        </is>
      </c>
      <c r="B43" s="12" t="inlineStr">
        <is>
          <t>1 No model</t>
        </is>
      </c>
      <c r="C43" s="12" t="inlineStr">
        <is>
          <t>5 Human approval</t>
        </is>
      </c>
      <c r="D43" s="12" t="inlineStr">
        <is>
          <t>Approval life cycle ledger</t>
        </is>
      </c>
      <c r="E43" s="12" t="inlineStr">
        <is>
          <t>!GuardianLayoutToolLedger</t>
        </is>
      </c>
      <c r="F43" s="12" t="inlineStr">
        <is>
          <t>The approval life cycle: pending, approved, ok, denied.</t>
        </is>
      </c>
      <c r="G43" s="12" t="n"/>
      <c r="H43" s="12" t="n"/>
      <c r="I43" s="12" t="inlineStr">
        <is>
          <t>Not run</t>
        </is>
      </c>
      <c r="J43" s="12" t="n"/>
      <c r="K43" s="12" t="n"/>
      <c r="L43" s="13" t="n"/>
      <c r="M43" s="12" t="n"/>
    </row>
    <row r="44">
      <c r="A44" s="12" t="inlineStr">
        <is>
          <t>A9</t>
        </is>
      </c>
      <c r="B44" s="12" t="inlineStr">
        <is>
          <t>1 No model</t>
        </is>
      </c>
      <c r="C44" s="12" t="inlineStr">
        <is>
          <t>5 Human approval</t>
        </is>
      </c>
      <c r="D44" s="12" t="inlineStr">
        <is>
          <t>Leave one pending</t>
        </is>
      </c>
      <c r="E44" s="12" t="inlineStr">
        <is>
          <t>Hold a third action (lab-host-03, reason expiry-test) and leave it pending.</t>
        </is>
      </c>
      <c r="F44" s="12" t="inlineStr">
        <is>
          <t>"Action requires approval". U1 checks that it expires.</t>
        </is>
      </c>
      <c r="G44" s="12" t="n"/>
      <c r="H44" s="12" t="n"/>
      <c r="I44" s="12" t="inlineStr">
        <is>
          <t>Not run</t>
        </is>
      </c>
      <c r="J44" s="12" t="n"/>
      <c r="K44" s="12" t="n"/>
      <c r="L44" s="13" t="n"/>
      <c r="M44" s="12" t="n"/>
    </row>
    <row r="45">
      <c r="A45" s="12" t="inlineStr">
        <is>
          <t>K1</t>
        </is>
      </c>
      <c r="B45" s="12" t="inlineStr">
        <is>
          <t>1 No model</t>
        </is>
      </c>
      <c r="C45" s="12" t="inlineStr">
        <is>
          <t>6 Kill switch</t>
        </is>
      </c>
      <c r="D45" s="12" t="inlineStr">
        <is>
          <t>Kill switch on</t>
        </is>
      </c>
      <c r="E45" s="12" t="inlineStr">
        <is>
          <t>!guardian-killswitch state=on reason="deployment test", then !GuardianKillSwitchCheck</t>
        </is>
      </c>
      <c r="F45" s="12" t="inlineStr">
        <is>
          <t>The switch reads as on, with your reason.</t>
        </is>
      </c>
      <c r="G45" s="12" t="n"/>
      <c r="H45" s="12" t="n"/>
      <c r="I45" s="12" t="inlineStr">
        <is>
          <t>Not run</t>
        </is>
      </c>
      <c r="J45" s="12" t="n"/>
      <c r="K45" s="12" t="n"/>
      <c r="L45" s="13" t="n"/>
      <c r="M45" s="12" t="n"/>
    </row>
    <row r="46">
      <c r="A46" s="12" t="inlineStr">
        <is>
          <t>K2</t>
        </is>
      </c>
      <c r="B46" s="12" t="inlineStr">
        <is>
          <t>1 No model</t>
        </is>
      </c>
      <c r="C46" s="12" t="inlineStr">
        <is>
          <t>6 Kill switch</t>
        </is>
      </c>
      <c r="D46" s="12" t="inlineStr">
        <is>
          <t>Actions blocked</t>
        </is>
      </c>
      <c r="E46" s="12" t="inlineStr">
        <is>
          <t>Run the S1 command again.</t>
        </is>
      </c>
      <c r="F46" s="12" t="inlineStr">
        <is>
          <t>Refused: the kill switch blocks every action.</t>
        </is>
      </c>
      <c r="G46" s="12" t="n"/>
      <c r="H46" s="12" t="n"/>
      <c r="I46" s="12" t="inlineStr">
        <is>
          <t>Not run</t>
        </is>
      </c>
      <c r="J46" s="12" t="n"/>
      <c r="K46" s="12" t="n"/>
      <c r="L46" s="13" t="n"/>
      <c r="M46" s="12" t="n"/>
    </row>
    <row r="47">
      <c r="A47" s="12" t="inlineStr">
        <is>
          <t>K3</t>
        </is>
      </c>
      <c r="B47" s="12" t="inlineStr">
        <is>
          <t>1 No model</t>
        </is>
      </c>
      <c r="C47" s="12" t="inlineStr">
        <is>
          <t>6 Kill switch</t>
        </is>
      </c>
      <c r="D47" s="12" t="inlineStr">
        <is>
          <t>Playbook stops at check</t>
        </is>
      </c>
      <c r="E47" s="12" t="inlineStr">
        <is>
          <t>On an investigation issue: !DeleteContext key=Guardian, then !setPlaybook name=GuardianInvestigateIssue</t>
        </is>
      </c>
      <c r="F47" s="12" t="inlineStr">
        <is>
          <t>The playbook stops at its first check with "The Guardian kill switch is on, so no model session was started." This needs no model: the check comes before any model step.</t>
        </is>
      </c>
      <c r="G47" s="12" t="n"/>
      <c r="H47" s="12" t="n"/>
      <c r="I47" s="12" t="inlineStr">
        <is>
          <t>Not run</t>
        </is>
      </c>
      <c r="J47" s="12" t="n"/>
      <c r="K47" s="12" t="n"/>
      <c r="L47" s="13" t="n"/>
      <c r="M47" s="12" t="n"/>
    </row>
    <row r="48">
      <c r="A48" s="12" t="inlineStr">
        <is>
          <t>K4</t>
        </is>
      </c>
      <c r="B48" s="12" t="inlineStr">
        <is>
          <t>1 No model</t>
        </is>
      </c>
      <c r="C48" s="12" t="inlineStr">
        <is>
          <t>6 Kill switch</t>
        </is>
      </c>
      <c r="D48" s="12" t="inlineStr">
        <is>
          <t>Kill switch off</t>
        </is>
      </c>
      <c r="E48" s="12" t="inlineStr">
        <is>
          <t>!guardian-killswitch state=off reason="deployment test done", then run the S1 command again.</t>
        </is>
      </c>
      <c r="F48" s="12" t="inlineStr">
        <is>
          <t>The switch reads as off, and S1 returns status=ok.</t>
        </is>
      </c>
      <c r="G48" s="12" t="n"/>
      <c r="H48" s="12" t="n"/>
      <c r="I48" s="12" t="inlineStr">
        <is>
          <t>Not run</t>
        </is>
      </c>
      <c r="J48" s="12" t="n"/>
      <c r="K48" s="12" t="n"/>
      <c r="L48" s="13" t="n"/>
      <c r="M48" s="12" t="n"/>
    </row>
    <row r="49">
      <c r="A49" s="12" t="inlineStr">
        <is>
          <t>K5</t>
        </is>
      </c>
      <c r="B49" s="12" t="inlineStr">
        <is>
          <t>1 No model</t>
        </is>
      </c>
      <c r="C49" s="12" t="inlineStr">
        <is>
          <t>6 Kill switch</t>
        </is>
      </c>
      <c r="D49" s="12" t="inlineStr">
        <is>
          <t>Audit rows for switch</t>
        </is>
      </c>
      <c r="E49" s="12" t="inlineStr">
        <is>
          <t>!getList listName=guardian_audit</t>
        </is>
      </c>
      <c r="F49" s="12" t="inlineStr">
        <is>
          <t>Rows for both switch changes, with your reasons.</t>
        </is>
      </c>
      <c r="G49" s="12" t="n"/>
      <c r="H49" s="12" t="n"/>
      <c r="I49" s="12" t="inlineStr">
        <is>
          <t>Not run</t>
        </is>
      </c>
      <c r="J49" s="12" t="n"/>
      <c r="K49" s="12" t="n"/>
      <c r="L49" s="13" t="n"/>
      <c r="M49" s="12" t="n"/>
    </row>
    <row r="50">
      <c r="A50" s="12" t="inlineStr">
        <is>
          <t>N1</t>
        </is>
      </c>
      <c r="B50" s="12" t="inlineStr">
        <is>
          <t>1 No model</t>
        </is>
      </c>
      <c r="C50" s="12" t="inlineStr">
        <is>
          <t>7 Memory, skills and knowledge</t>
        </is>
      </c>
      <c r="D50" s="12" t="inlineStr">
        <is>
          <t>Store a memory</t>
        </is>
      </c>
      <c r="E50" s="12" t="inlineStr">
        <is>
          <t>!GuardianMemory op=store key=deploy_test_note value="Deployment test note" scope=global tags=test ttl=3600</t>
        </is>
      </c>
      <c r="F50" s="12" t="inlineStr">
        <is>
          <t>Stored.</t>
        </is>
      </c>
      <c r="G50" s="12" t="n"/>
      <c r="H50" s="12" t="n"/>
      <c r="I50" s="12" t="inlineStr">
        <is>
          <t>Not run</t>
        </is>
      </c>
      <c r="J50" s="12" t="n"/>
      <c r="K50" s="12" t="n"/>
      <c r="L50" s="13" t="n"/>
      <c r="M50" s="12" t="n"/>
    </row>
    <row r="51">
      <c r="A51" s="12" t="inlineStr">
        <is>
          <t>N2</t>
        </is>
      </c>
      <c r="B51" s="12" t="inlineStr">
        <is>
          <t>1 No model</t>
        </is>
      </c>
      <c r="C51" s="12" t="inlineStr">
        <is>
          <t>7 Memory, skills and knowledge</t>
        </is>
      </c>
      <c r="D51" s="12" t="inlineStr">
        <is>
          <t>Search memory</t>
        </is>
      </c>
      <c r="E51" s="12" t="inlineStr">
        <is>
          <t>!GuardianMemory op=search query="deployment test"</t>
        </is>
      </c>
      <c r="F51" s="12" t="inlineStr">
        <is>
          <t>Finds N1's row.</t>
        </is>
      </c>
      <c r="G51" s="12" t="n"/>
      <c r="H51" s="12" t="n"/>
      <c r="I51" s="12" t="inlineStr">
        <is>
          <t>Not run</t>
        </is>
      </c>
      <c r="J51" s="12" t="n"/>
      <c r="K51" s="12" t="n"/>
      <c r="L51" s="13" t="n"/>
      <c r="M51" s="12" t="n"/>
    </row>
    <row r="52">
      <c r="A52" s="12" t="inlineStr">
        <is>
          <t>N3</t>
        </is>
      </c>
      <c r="B52" s="12" t="inlineStr">
        <is>
          <t>1 No model</t>
        </is>
      </c>
      <c r="C52" s="12" t="inlineStr">
        <is>
          <t>7 Memory, skills and knowledge</t>
        </is>
      </c>
      <c r="D52" s="12" t="inlineStr">
        <is>
          <t>Read skill summary</t>
        </is>
      </c>
      <c r="E52" s="12" t="inlineStr">
        <is>
          <t>!GuardianSkillRead name=cortex_triage summary_only=true</t>
        </is>
      </c>
      <c r="F52" s="12" t="inlineStr">
        <is>
          <t>The skill's summary.</t>
        </is>
      </c>
      <c r="G52" s="12" t="n"/>
      <c r="H52" s="12" t="n"/>
      <c r="I52" s="12" t="inlineStr">
        <is>
          <t>Not run</t>
        </is>
      </c>
      <c r="J52" s="12" t="n"/>
      <c r="K52" s="12" t="n"/>
      <c r="L52" s="13" t="n"/>
      <c r="M52" s="12" t="n"/>
    </row>
    <row r="53">
      <c r="A53" s="12" t="inlineStr">
        <is>
          <t>N4</t>
        </is>
      </c>
      <c r="B53" s="12" t="inlineStr">
        <is>
          <t>1 No model</t>
        </is>
      </c>
      <c r="C53" s="12" t="inlineStr">
        <is>
          <t>7 Memory, skills and knowledge</t>
        </is>
      </c>
      <c r="D53" s="12" t="inlineStr">
        <is>
          <t>Knowledge base search</t>
        </is>
      </c>
      <c r="E53" s="12" t="inlineStr">
        <is>
          <t>!GuardianKBSearch query="brute force"</t>
        </is>
      </c>
      <c r="F53" s="12" t="inlineStr">
        <is>
          <t>Knowledge-base entries with their ATT&amp;CK technique.</t>
        </is>
      </c>
      <c r="G53" s="12" t="n"/>
      <c r="H53" s="12" t="n"/>
      <c r="I53" s="12" t="inlineStr">
        <is>
          <t>Not run</t>
        </is>
      </c>
      <c r="J53" s="12" t="n"/>
      <c r="K53" s="12" t="n"/>
      <c r="L53" s="13" t="n"/>
      <c r="M53" s="12" t="n"/>
    </row>
    <row r="54">
      <c r="A54" s="12" t="inlineStr">
        <is>
          <t>O1</t>
        </is>
      </c>
      <c r="B54" s="12" t="inlineStr">
        <is>
          <t>1 No model</t>
        </is>
      </c>
      <c r="C54" s="12" t="inlineStr">
        <is>
          <t>8 Upkeep without Jobs</t>
        </is>
      </c>
      <c r="D54" s="12" t="inlineStr">
        <is>
          <t>Housekeeping script</t>
        </is>
      </c>
      <c r="E54" s="12" t="inlineStr">
        <is>
          <t>!GuardianHousekeeping</t>
        </is>
      </c>
      <c r="F54" s="12" t="inlineStr">
        <is>
          <t>A summary of its steps (audit consolidation and rotation, stale approvals, expired memory, stalled runs), with none failed.</t>
        </is>
      </c>
      <c r="G54" s="12" t="n"/>
      <c r="H54" s="12" t="n"/>
      <c r="I54" s="12" t="inlineStr">
        <is>
          <t>Not run</t>
        </is>
      </c>
      <c r="J54" s="12" t="n"/>
      <c r="K54" s="12" t="n"/>
      <c r="L54" s="13" t="n"/>
      <c r="M54" s="12" t="n"/>
    </row>
    <row r="55">
      <c r="A55" s="12" t="inlineStr">
        <is>
          <t>O2</t>
        </is>
      </c>
      <c r="B55" s="12" t="inlineStr">
        <is>
          <t>1 No model</t>
        </is>
      </c>
      <c r="C55" s="12" t="inlineStr">
        <is>
          <t>8 Upkeep without Jobs</t>
        </is>
      </c>
      <c r="D55" s="12" t="inlineStr">
        <is>
          <t>Housekeeping playbook</t>
        </is>
      </c>
      <c r="E55" s="12" t="inlineStr">
        <is>
          <t>On the spare issue: !setPlaybook name=GuardianHousekeeping. When it finishes, run !GuardianPlaybookMonitor incident_id=&lt;spare issue id&gt; in the workbench issue.</t>
        </is>
      </c>
      <c r="F55" s="12" t="inlineStr">
        <is>
          <t>The playbook completes, and its last task closes the spare issue. The monitor reports the run as successful, with no failed tasks. This is how a Job would run it.</t>
        </is>
      </c>
      <c r="G55" s="12" t="n"/>
      <c r="H55" s="12" t="n"/>
      <c r="I55" s="12" t="inlineStr">
        <is>
          <t>Not run</t>
        </is>
      </c>
      <c r="J55" s="12" t="n"/>
      <c r="K55" s="12" t="n"/>
      <c r="L55" s="13" t="n"/>
      <c r="M55" s="12" t="n"/>
    </row>
    <row r="56">
      <c r="A56" s="12" t="inlineStr">
        <is>
          <t>O3</t>
        </is>
      </c>
      <c r="B56" s="12" t="inlineStr">
        <is>
          <t>1 No model</t>
        </is>
      </c>
      <c r="C56" s="12" t="inlineStr">
        <is>
          <t>8 Upkeep without Jobs</t>
        </is>
      </c>
      <c r="D56" s="12" t="inlineStr">
        <is>
          <t>Case capture</t>
        </is>
      </c>
      <c r="E56" s="12" t="inlineStr">
        <is>
          <t>Needs custom issue fields: N/A if P10 found them REJECTED or DROPPED. !GuardianCaseCapture</t>
        </is>
      </c>
      <c r="F56" s="12" t="inlineStr">
        <is>
          <t>It runs without error, and nothing is captured yet: no closed issue has a Guardian verdict. U2 repeats it after the runs.</t>
        </is>
      </c>
      <c r="G56" s="12" t="n"/>
      <c r="H56" s="12" t="inlineStr">
        <is>
          <t>Yes</t>
        </is>
      </c>
      <c r="I56" s="12" t="inlineStr">
        <is>
          <t>Not run</t>
        </is>
      </c>
      <c r="J56" s="12" t="n"/>
      <c r="K56" s="12" t="n"/>
      <c r="L56" s="13" t="n"/>
      <c r="M56" s="12" t="n"/>
    </row>
    <row r="57">
      <c r="A57" s="12" t="inlineStr">
        <is>
          <t>O4</t>
        </is>
      </c>
      <c r="B57" s="12" t="inlineStr">
        <is>
          <t>1 No model</t>
        </is>
      </c>
      <c r="C57" s="12" t="inlineStr">
        <is>
          <t>8 Upkeep without Jobs</t>
        </is>
      </c>
      <c r="D57" s="12" t="inlineStr">
        <is>
          <t>Evaluation harvest</t>
        </is>
      </c>
      <c r="E57" s="12" t="inlineStr">
        <is>
          <t>Needs custom issue fields: N/A if P10 found them REJECTED or DROPPED. !GuardianEvalHarvest</t>
        </is>
      </c>
      <c r="F57" s="12" t="inlineStr">
        <is>
          <t>It runs without error, and no evaluation case is added yet. U3 repeats it.</t>
        </is>
      </c>
      <c r="G57" s="12" t="n"/>
      <c r="H57" s="12" t="inlineStr">
        <is>
          <t>Yes</t>
        </is>
      </c>
      <c r="I57" s="12" t="inlineStr">
        <is>
          <t>Not run</t>
        </is>
      </c>
      <c r="J57" s="12" t="n"/>
      <c r="K57" s="12" t="n"/>
      <c r="L57" s="13" t="n"/>
      <c r="M57" s="12" t="n"/>
    </row>
    <row r="58">
      <c r="A58" s="12" t="inlineStr">
        <is>
          <t>O5</t>
        </is>
      </c>
      <c r="B58" s="12" t="inlineStr">
        <is>
          <t>1 No model</t>
        </is>
      </c>
      <c r="C58" s="12" t="inlineStr">
        <is>
          <t>8 Upkeep without Jobs</t>
        </is>
      </c>
      <c r="D58" s="12" t="inlineStr">
        <is>
          <t>Widget commands</t>
        </is>
      </c>
      <c r="E58" s="12" t="inlineStr">
        <is>
          <t>!GuardianWidgetCost, !GuardianWidgetToolLedger, !GuardianWidgetLoopHealth, !GuardianWidgetApprovalsQueue, !GuardianWidgetEventFeed</t>
        </is>
      </c>
      <c r="F58" s="12" t="inlineStr">
        <is>
          <t>Each returns a table, mostly empty for now. The approvals queue shows A9's hold. These stand in for the dashboard.</t>
        </is>
      </c>
      <c r="G58" s="12" t="n"/>
      <c r="H58" s="12" t="n"/>
      <c r="I58" s="12" t="inlineStr">
        <is>
          <t>Not run</t>
        </is>
      </c>
      <c r="J58" s="12" t="n"/>
      <c r="K58" s="12" t="n"/>
      <c r="L58" s="13" t="n"/>
      <c r="M58" s="12" t="n"/>
    </row>
    <row r="59">
      <c r="A59" s="12" t="inlineStr">
        <is>
          <t>X1</t>
        </is>
      </c>
      <c r="B59" s="12" t="inlineStr">
        <is>
          <t>1 No model</t>
        </is>
      </c>
      <c r="C59" s="12" t="inlineStr">
        <is>
          <t>9 Optional tests without a model</t>
        </is>
      </c>
      <c r="D59" s="12" t="inlineStr">
        <is>
          <t>Simulated issues</t>
        </is>
      </c>
      <c r="E59" s="12" t="inlineStr">
        <is>
          <t>Simulated issues (uses the Core REST API instance from P4): !GuardianSimulateIncidents scenario=phishing count=1. Other scenarios: brute_force, malware_beacon, benign_fp, generic.</t>
        </is>
      </c>
      <c r="F59" s="12" t="inlineStr">
        <is>
          <t>A new issue tagged as simulated. Record whether the issue was created at all on this tenant. If it was, you can investigate it in Part 3 instead of a real issue.</t>
        </is>
      </c>
      <c r="G59" s="12" t="n"/>
      <c r="H59" s="12" t="inlineStr">
        <is>
          <t>Yes</t>
        </is>
      </c>
      <c r="I59" s="12" t="inlineStr">
        <is>
          <t>Not run</t>
        </is>
      </c>
      <c r="J59" s="12" t="n"/>
      <c r="K59" s="12" t="n"/>
      <c r="L59" s="13" t="n"/>
      <c r="M59" s="12" t="n"/>
    </row>
    <row r="60">
      <c r="A60" s="12" t="inlineStr">
        <is>
          <t>X2</t>
        </is>
      </c>
      <c r="B60" s="12" t="inlineStr">
        <is>
          <t>1 No model</t>
        </is>
      </c>
      <c r="C60" s="12" t="inlineStr">
        <is>
          <t>9 Optional tests without a model</t>
        </is>
      </c>
      <c r="D60" s="12" t="inlineStr">
        <is>
          <t>Pre-approved bypass mode</t>
        </is>
      </c>
      <c r="E60" s="12" t="inlineStr">
        <is>
          <t>Needs custom issue fields: N/A if P10 found them REJECTED or DROPPED. Pre-approved actions: on a test issue, set the field guardianapprovalmode to bypass. Then hold as in A1 on that issue.</t>
        </is>
      </c>
      <c r="F60" s="12" t="inlineStr">
        <is>
          <t>GuardianContainmentSimulate runs without a person and is audited auto_approved=true. Destructive and credential-tier actions still wait for a person. This needs the field to be settable on that issue's type: the Guardian fields are associated only with the type Guardian Agent Run (see I3). Set it back to manual afterwards.</t>
        </is>
      </c>
      <c r="G60" s="12" t="n"/>
      <c r="H60" s="12" t="inlineStr">
        <is>
          <t>Yes</t>
        </is>
      </c>
      <c r="I60" s="12" t="inlineStr">
        <is>
          <t>Not run</t>
        </is>
      </c>
      <c r="J60" s="12" t="n"/>
      <c r="K60" s="12" t="n"/>
      <c r="L60" s="13" t="n"/>
      <c r="M60" s="12" t="n"/>
    </row>
    <row r="61">
      <c r="A61" s="12" t="inlineStr">
        <is>
          <t>X3</t>
        </is>
      </c>
      <c r="B61" s="12" t="inlineStr">
        <is>
          <t>1 No model</t>
        </is>
      </c>
      <c r="C61" s="12" t="inlineStr">
        <is>
          <t>9 Optional tests without a model</t>
        </is>
      </c>
      <c r="D61" s="12" t="inlineStr">
        <is>
          <t>Dashboard import</t>
        </is>
      </c>
      <c r="E61" s="12" t="inlineStr">
        <is>
          <t>Needs custom issue fields: N/A if P10 found them REJECTED or DROPPED. Dashboard: if the tenant can import dashboards, import the Guardian Performance dashboard. An item-by-item install cannot upload it, so import it by hand from the pack's dashboard file.</t>
        </is>
      </c>
      <c r="F61" s="12" t="inlineStr">
        <is>
          <t>Record whether the import works. It fills in once Part 3 has runs, if I3 finds the fields written.</t>
        </is>
      </c>
      <c r="G61" s="12" t="n"/>
      <c r="H61" s="12" t="inlineStr">
        <is>
          <t>Yes</t>
        </is>
      </c>
      <c r="I61" s="12" t="inlineStr">
        <is>
          <t>Not run</t>
        </is>
      </c>
      <c r="J61" s="12" t="n"/>
      <c r="K61" s="12" t="n"/>
      <c r="L61" s="13" t="n"/>
      <c r="M61" s="12" t="n"/>
    </row>
    <row r="62">
      <c r="A62" s="12" t="inlineStr">
        <is>
          <t>END1</t>
        </is>
      </c>
      <c r="B62" s="12" t="inlineStr">
        <is>
          <t>1 No model</t>
        </is>
      </c>
      <c r="C62" s="12" t="inlineStr">
        <is>
          <t>8 Upkeep without Jobs</t>
        </is>
      </c>
      <c r="D62" s="12" t="inlineStr">
        <is>
          <t>End of Part 1 checkpoint</t>
        </is>
      </c>
      <c r="E62" s="12" t="inlineStr">
        <is>
          <t>Check that every required test in sections 1 to 8 has passed, then run !guardian-cost.</t>
        </is>
      </c>
      <c r="F62" s="12" t="inlineStr">
        <is>
          <t>Sections 1 to 8 pass, and !guardian-cost shows no cost: nothing has called a model. Fix any failure before Part 2 (see the Troubleshooting tab).</t>
        </is>
      </c>
      <c r="G62" s="12" t="n"/>
      <c r="H62" s="12" t="n"/>
      <c r="I62" s="12" t="inlineStr">
        <is>
          <t>Not run</t>
        </is>
      </c>
      <c r="J62" s="12" t="n"/>
      <c r="K62" s="12" t="n"/>
      <c r="L62" s="13" t="n"/>
      <c r="M62" s="12" t="n"/>
    </row>
    <row r="63">
      <c r="A63" s="12" t="inlineStr">
        <is>
          <t>M1</t>
        </is>
      </c>
      <c r="B63" s="12" t="inlineStr">
        <is>
          <t>2 Model</t>
        </is>
      </c>
      <c r="C63" s="12" t="inlineStr">
        <is>
          <t>10 Model provider</t>
        </is>
      </c>
      <c r="D63" s="12" t="inlineStr">
        <is>
          <t>Foundry instance saved</t>
        </is>
      </c>
      <c r="E63" s="12" t="inlineStr">
        <is>
          <t>Create a Guardian Foundry instance with the values from docs/MODEL_SETUP.md. In Model, choose your model (for example gpt-5-mini); choose Custom (use the deployment name below) only when your deployment has another name, and then fill in Deployment name. For a certificate, set Authentication to entra-client-certificate, fill in Tenant ID and Client ID, paste the whole PEM file (private key and certificate) into Certificate and private key, PEM, leave the thumbprint empty, and fill in the passphrase only if the key is encrypted. For a client secret, set Authentication to entra-client-credentials and fill in Tenant ID, Client ID and Client secret. Save.</t>
        </is>
      </c>
      <c r="F63" s="12" t="inlineStr">
        <is>
          <t>The instance saves. Record which Authentication you used.</t>
        </is>
      </c>
      <c r="G63" s="12" t="n"/>
      <c r="H63" s="12" t="n"/>
      <c r="I63" s="12" t="inlineStr">
        <is>
          <t>Not run</t>
        </is>
      </c>
      <c r="J63" s="12" t="n"/>
      <c r="K63" s="12" t="n"/>
      <c r="L63" s="13" t="n"/>
      <c r="M63" s="12" t="n"/>
    </row>
    <row r="64">
      <c r="A64" s="12" t="inlineStr">
        <is>
          <t>M2</t>
        </is>
      </c>
      <c r="B64" s="12" t="inlineStr">
        <is>
          <t>2 Model</t>
        </is>
      </c>
      <c r="C64" s="12" t="inlineStr">
        <is>
          <t>10 Model provider</t>
        </is>
      </c>
      <c r="D64" s="12" t="inlineStr">
        <is>
          <t>PEM field kept after save</t>
        </is>
      </c>
      <c r="E64" s="12" t="inlineStr">
        <is>
          <t>Certificate only (N/A with a client secret). Close the instance and open it again.</t>
        </is>
      </c>
      <c r="F64" s="12" t="inlineStr">
        <is>
          <t>The PEM field still holds a value (shown masked). This field type has not yet been tried in a console, so record the result. If the value is lost on save, switch to entra-client-credentials (client secret) so the session can continue, and report it.</t>
        </is>
      </c>
      <c r="G64" s="12" t="n"/>
      <c r="H64" s="12" t="n"/>
      <c r="I64" s="12" t="inlineStr">
        <is>
          <t>Not run</t>
        </is>
      </c>
      <c r="J64" s="12" t="n"/>
      <c r="K64" s="12" t="n"/>
      <c r="L64" s="13" t="n"/>
      <c r="M64" s="12" t="n"/>
    </row>
    <row r="65">
      <c r="A65" s="12" t="inlineStr">
        <is>
          <t>M3</t>
        </is>
      </c>
      <c r="B65" s="12" t="inlineStr">
        <is>
          <t>2 Model</t>
        </is>
      </c>
      <c r="C65" s="12" t="inlineStr">
        <is>
          <t>10 Model provider</t>
        </is>
      </c>
      <c r="D65" s="12" t="inlineStr">
        <is>
          <t>Instance Test</t>
        </is>
      </c>
      <c r="E65" s="12" t="inlineStr">
        <is>
          <t>Press Test.</t>
        </is>
      </c>
      <c r="F65" s="12" t="inlineStr">
        <is>
          <t>Success. If the error mentions the cryptography library or the Docker image, the tenant has not pulled the demisto/crypto image this integration now runs on.</t>
        </is>
      </c>
      <c r="G65" s="12" t="n"/>
      <c r="H65" s="12" t="n"/>
      <c r="I65" s="12" t="inlineStr">
        <is>
          <t>Not run</t>
        </is>
      </c>
      <c r="J65" s="12" t="n"/>
      <c r="K65" s="12" t="n"/>
      <c r="L65" s="13" t="n"/>
      <c r="M65" s="12" t="n"/>
    </row>
    <row r="66">
      <c r="A66" s="12" t="inlineStr">
        <is>
          <t>M4</t>
        </is>
      </c>
      <c r="B66" s="12" t="inlineStr">
        <is>
          <t>2 Model</t>
        </is>
      </c>
      <c r="C66" s="12" t="inlineStr">
        <is>
          <t>10 Model provider</t>
        </is>
      </c>
      <c r="D66" s="12" t="inlineStr">
        <is>
          <t>One active provider</t>
        </is>
      </c>
      <c r="E66" s="12" t="inlineStr">
        <is>
          <t>Disable every other Guardian provider instance, then run !guardian-model.</t>
        </is>
      </c>
      <c r="F66" s="12" t="inlineStr">
        <is>
          <t>One active instance: your Foundry instance, with the model chosen in its Model dropdown (or the Deployment name when Model is Custom), and the numbers a run started now would use, each with its source. For a model in the catalogue the model size comes from the catalogue (gpt-5-mini: large), and the limits follow its input budget. Before any profile is saved, a model in the catalogue that needs no probe already shows its documented input budget, marked as saved by the run's first task (gpt-5-mini on Foundry: 173400, documented, catalogue 2026-10-09), and a line saying no profile is saved yet and that !GuardianModelProfileCheck saves it now (M14). An open-weight model in the catalogue, or a model that is not in it, shows the guardian_settings budget (28258) and says how to size it (M7). Compare with P8.</t>
        </is>
      </c>
      <c r="G66" s="12" t="n"/>
      <c r="H66" s="12" t="n"/>
      <c r="I66" s="12" t="inlineStr">
        <is>
          <t>Not run</t>
        </is>
      </c>
      <c r="J66" s="12" t="n"/>
      <c r="K66" s="12" t="n"/>
      <c r="L66" s="13" t="n"/>
      <c r="M66" s="12" t="n"/>
    </row>
    <row r="67">
      <c r="A67" s="12" t="inlineStr">
        <is>
          <t>M14</t>
        </is>
      </c>
      <c r="B67" s="12" t="inlineStr">
        <is>
          <t>2 Model</t>
        </is>
      </c>
      <c r="C67" s="12" t="inlineStr">
        <is>
          <t>10 Model provider</t>
        </is>
      </c>
      <c r="D67" s="12" t="inlineStr">
        <is>
          <t>Documented profile saved</t>
        </is>
      </c>
      <c r="E67" s="12" t="inlineStr">
        <is>
          <t>!GuardianModelProfileCheck, then !guardian-model</t>
        </is>
      </c>
      <c r="F67" s="12" t="inlineStr">
        <is>
          <t>For a model in the model catalogue that needs no probe, or that has a published cloud provider cap: the output says the model is documented, with its context window and usable input limit, and that a documented profile was written with its input budget. For gpt-5-mini on Foundry: context window 400,000, usable input limit 272,000 tokens, input budget 173,400. The list guardian_model_profile is created if it was missing. !guardian-model then shows the same input budget with the source documented and the catalogue date. Running !GuardianModelProfileCheck again keeps the same budget. An open-weight model in the catalogue: no profile is written, and the output says to confirm the served window with !guardian-probe-model (M7). A model that is not in the catalogue: no profile is written; M7 sizes it.</t>
        </is>
      </c>
      <c r="G67" s="12" t="n"/>
      <c r="H67" s="12" t="n"/>
      <c r="I67" s="12" t="inlineStr">
        <is>
          <t>Not run</t>
        </is>
      </c>
      <c r="J67" s="12" t="n"/>
      <c r="K67" s="12" t="n"/>
      <c r="L67" s="13" t="n"/>
      <c r="M67" s="12" t="n"/>
    </row>
    <row r="68">
      <c r="A68" s="12" t="inlineStr">
        <is>
          <t>M15</t>
        </is>
      </c>
      <c r="B68" s="12" t="inlineStr">
        <is>
          <t>2 Model</t>
        </is>
      </c>
      <c r="C68" s="12" t="inlineStr">
        <is>
          <t>10 Model provider</t>
        </is>
      </c>
      <c r="D68" s="12" t="inlineStr">
        <is>
          <t>Model size</t>
        </is>
      </c>
      <c r="E68" s="12" t="inlineStr">
        <is>
          <t>Run !guardian-model. Only for a model that is not in the model catalogue: open the list guardian_settings and set "model_tier" to small (under 13B parameters), medium (13B to 40B) or large (over 40B, or a hosted frontier model), then run !guardian-model again. To force a size for a model that is in the catalogue, open the list guardian_model_profile (it exists after M14, or after M7) and set "overrides" to {"model_tier": "&lt;size&gt;"}, keeping the rest of the list as it is.</t>
        </is>
      </c>
      <c r="F68" s="12" t="inlineStr">
        <is>
          <t>For a model in the catalogue, Model size comes from the catalogue (gpt-5-mini: large), not from guardian_settings, and the limits follow the input budget. For gpt-5-mini at 173,400: tool list budget 43,350 (every allowlisted tool fits), each tool result up to about 138 KB, incident details up to 34,680 characters, and history trimmed only near the budget. If guardian_settings holds an explicit model_tier, the output says in one line that it is not used for this model. A model that is not in the catalogue takes the size set in guardian_settings (small when it is "auto"). The instance's own Model size field is display-only: "auto" or empty is fine, and a different value only gives a one-line note.</t>
        </is>
      </c>
      <c r="G68" s="12" t="n"/>
      <c r="H68" s="12" t="n"/>
      <c r="I68" s="12" t="inlineStr">
        <is>
          <t>Not run</t>
        </is>
      </c>
      <c r="J68" s="12" t="n"/>
      <c r="K68" s="12" t="n"/>
      <c r="L68" s="13" t="n"/>
      <c r="M68" s="12" t="n"/>
    </row>
    <row r="69">
      <c r="A69" s="12" t="inlineStr">
        <is>
          <t>M5</t>
        </is>
      </c>
      <c r="B69" s="12" t="inlineStr">
        <is>
          <t>2 Model</t>
        </is>
      </c>
      <c r="C69" s="12" t="inlineStr">
        <is>
          <t>10 Model provider</t>
        </is>
      </c>
      <c r="D69" s="12" t="inlineStr">
        <is>
          <t>Plain chat</t>
        </is>
      </c>
      <c r="E69" s="12" t="inlineStr">
        <is>
          <t>!guardian-llm-chat user_message="Reply with the single word OK"</t>
        </is>
      </c>
      <c r="F69" s="12" t="inlineStr">
        <is>
          <t>OK, with the model name and token counts.</t>
        </is>
      </c>
      <c r="G69" s="12" t="inlineStr">
        <is>
          <t>Yes</t>
        </is>
      </c>
      <c r="H69" s="12" t="n"/>
      <c r="I69" s="12" t="inlineStr">
        <is>
          <t>Not run</t>
        </is>
      </c>
      <c r="J69" s="12" t="n"/>
      <c r="K69" s="12" t="n"/>
      <c r="L69" s="13" t="n"/>
      <c r="M69" s="12" t="n"/>
    </row>
    <row r="70">
      <c r="A70" s="12" t="inlineStr">
        <is>
          <t>M6</t>
        </is>
      </c>
      <c r="B70" s="12" t="inlineStr">
        <is>
          <t>2 Model</t>
        </is>
      </c>
      <c r="C70" s="12" t="inlineStr">
        <is>
          <t>10 Model provider</t>
        </is>
      </c>
      <c r="D70" s="12" t="inlineStr">
        <is>
          <t>Tool call</t>
        </is>
      </c>
      <c r="E70" s="12" t="inlineStr">
        <is>
          <t>A tool call: !guardian-llm-chat messages=`[{"role":"user","content":"What is the reputation of 8.8.8.8?"}]` tools=`[{"type":"function","function":{"name":"ip_reputation","description":"Look up IP reputation","parameters":{"type":"object","properties":{"ip":{"type":"string"}},"required":["ip"]}}}]` tool_choice=auto</t>
        </is>
      </c>
      <c r="F70" s="12" t="inlineStr">
        <is>
          <t>The answer contains a tool call to ip_reputation with ip = 8.8.8.8.</t>
        </is>
      </c>
      <c r="G70" s="12" t="inlineStr">
        <is>
          <t>Yes</t>
        </is>
      </c>
      <c r="H70" s="12" t="n"/>
      <c r="I70" s="12" t="inlineStr">
        <is>
          <t>Not run</t>
        </is>
      </c>
      <c r="J70" s="12" t="n"/>
      <c r="K70" s="12" t="n"/>
      <c r="L70" s="13" t="n"/>
      <c r="M70" s="12" t="n"/>
    </row>
    <row r="71">
      <c r="A71" s="12" t="inlineStr">
        <is>
          <t>M7</t>
        </is>
      </c>
      <c r="B71" s="12" t="inlineStr">
        <is>
          <t>2 Model</t>
        </is>
      </c>
      <c r="C71" s="12" t="inlineStr">
        <is>
          <t>10 Model provider</t>
        </is>
      </c>
      <c r="D71" s="12" t="inlineStr">
        <is>
          <t>Model sized by hand</t>
        </is>
      </c>
      <c r="E71" s="12" t="inlineStr">
        <is>
          <t>Required for an open-weight, self-hosted or unknown model. Optional for a model that M14 saved a documented profile for: it then only measures characters per token and checks tool support. Size the model by hand, which is the model-adaptation Job's work: !guardian-probe-model, then !GuardianModelProfileUpdate, then !guardian-model. A model that is in the model catalogue and needs no probe (a closed frontier model) gets no window search: the probe measures only characters per token and the capability checks. Add force=true to search it anyway.</t>
        </is>
      </c>
      <c r="F71" s="12" t="inlineStr">
        <is>
          <t>The probe reports the catalogue match: the documented context window and usable input limit. A closed frontier model: no window probe needed (documented), and !GuardianModelProfileUpdate saves the documented profile again, now with the measured characters per token, counted as at most 3.0, so the input budget does not change (173,400 for gpt-5-mini) and the source stays documented. An open-weight or self-hosted model: the probe searches up to the documented limit and gives a verdict: confirmed (the window is within 20% of the documented limit, which is then used), measured (more than 20% below it, with the evidence, for example "past N tokens the first response took X s") or quota (a rate limit stopped the search, so the window was not reached; a frontier model or a model on a cloud with a published cap keeps the documented limit, a self-hosted model is sized from the largest request that answered). A model that is not in the catalogue is searched up to 131072 tokens. guardian_model_profile is written; !guardian-model shows the new size and budgets with their source. Without this step, runs use the documented profile of a known model, or the conservative small defaults.</t>
        </is>
      </c>
      <c r="G71" s="12" t="inlineStr">
        <is>
          <t>Yes</t>
        </is>
      </c>
      <c r="H71" s="12" t="n"/>
      <c r="I71" s="12" t="inlineStr">
        <is>
          <t>Not run</t>
        </is>
      </c>
      <c r="J71" s="12" t="n"/>
      <c r="K71" s="12" t="n"/>
      <c r="L71" s="13" t="n"/>
      <c r="M71" s="12" t="n"/>
    </row>
    <row r="72">
      <c r="A72" s="12" t="inlineStr">
        <is>
          <t>M8</t>
        </is>
      </c>
      <c r="B72" s="12" t="inlineStr">
        <is>
          <t>2 Model</t>
        </is>
      </c>
      <c r="C72" s="12" t="inlineStr">
        <is>
          <t>10 Model provider</t>
        </is>
      </c>
      <c r="D72" s="12" t="inlineStr">
        <is>
          <t>Profile and tools after sizing</t>
        </is>
      </c>
      <c r="E72" s="12" t="inlineStr">
        <is>
          <t>!GuardianModelProfileCheck, then !guardian-tools</t>
        </is>
      </c>
      <c r="F72" s="12" t="inlineStr">
        <is>
          <t>The values now come from the profile on file (documented, confirmed or measured; compare with P9), each worded for its source: a documented figure is never called measured or probed. For a known model with no profile, this task writes the documented one itself, but only for a model that needs no probe or has a cloud provider cap; a self-hosted open-weight model is reported with its documented figure and advice to confirm the served window with !guardian-probe-model then !GuardianModelProfileUpdate. Compare the Dropped by token budget row with H1: a larger model can be offered more tools.</t>
        </is>
      </c>
      <c r="G72" s="12" t="n"/>
      <c r="H72" s="12" t="n"/>
      <c r="I72" s="12" t="inlineStr">
        <is>
          <t>Not run</t>
        </is>
      </c>
      <c r="J72" s="12" t="n"/>
      <c r="K72" s="12" t="n"/>
      <c r="L72" s="13" t="n"/>
      <c r="M72" s="12" t="n"/>
    </row>
    <row r="73">
      <c r="A73" s="12" t="inlineStr">
        <is>
          <t>M9</t>
        </is>
      </c>
      <c r="B73" s="12" t="inlineStr">
        <is>
          <t>2 Model</t>
        </is>
      </c>
      <c r="C73" s="12" t="inlineStr">
        <is>
          <t>10 Model provider</t>
        </is>
      </c>
      <c r="D73" s="12" t="inlineStr">
        <is>
          <t>PEM without certificate</t>
        </is>
      </c>
      <c r="E73" s="12" t="inlineStr">
        <is>
          <t>On a second Foundry instance, press Test without enabling it: Paste only the private key, and leave the thumbprint empty.</t>
        </is>
      </c>
      <c r="F73" s="12" t="inlineStr">
        <is>
          <t>"The PEM has no certificate, so the thumbprint cannot be computed. Enter the certificate thumbprint ..."</t>
        </is>
      </c>
      <c r="G73" s="12" t="n"/>
      <c r="H73" s="12" t="inlineStr">
        <is>
          <t>Yes</t>
        </is>
      </c>
      <c r="I73" s="12" t="inlineStr">
        <is>
          <t>Not run</t>
        </is>
      </c>
      <c r="J73" s="12" t="n"/>
      <c r="K73" s="12" t="n"/>
      <c r="L73" s="13" t="n"/>
      <c r="M73" s="12" t="n"/>
    </row>
    <row r="74">
      <c r="A74" s="12" t="inlineStr">
        <is>
          <t>M10</t>
        </is>
      </c>
      <c r="B74" s="12" t="inlineStr">
        <is>
          <t>2 Model</t>
        </is>
      </c>
      <c r="C74" s="12" t="inlineStr">
        <is>
          <t>10 Model provider</t>
        </is>
      </c>
      <c r="D74" s="12" t="inlineStr">
        <is>
          <t>Wrong certificate thumbprint</t>
        </is>
      </c>
      <c r="E74" s="12" t="inlineStr">
        <is>
          <t>On a second Foundry instance, press Test without enabling it: Same as M9, but enter a thumbprint of a different certificate.</t>
        </is>
      </c>
      <c r="F74" s="12" t="inlineStr">
        <is>
          <t>"Entra ID did not accept the certificate assertion. Check that the PUBLIC certificate is uploaded to the app registration ..."</t>
        </is>
      </c>
      <c r="G74" s="12" t="n"/>
      <c r="H74" s="12" t="inlineStr">
        <is>
          <t>Yes</t>
        </is>
      </c>
      <c r="I74" s="12" t="inlineStr">
        <is>
          <t>Not run</t>
        </is>
      </c>
      <c r="J74" s="12" t="n"/>
      <c r="K74" s="12" t="n"/>
      <c r="L74" s="13" t="n"/>
      <c r="M74" s="12" t="n"/>
    </row>
    <row r="75">
      <c r="A75" s="12" t="inlineStr">
        <is>
          <t>M11</t>
        </is>
      </c>
      <c r="B75" s="12" t="inlineStr">
        <is>
          <t>2 Model</t>
        </is>
      </c>
      <c r="C75" s="12" t="inlineStr">
        <is>
          <t>10 Model provider</t>
        </is>
      </c>
      <c r="D75" s="12" t="inlineStr">
        <is>
          <t>Encrypted key, no passphrase</t>
        </is>
      </c>
      <c r="E75" s="12" t="inlineStr">
        <is>
          <t>On a second Foundry instance, press Test without enabling it: Use an encrypted private key with no passphrase.</t>
        </is>
      </c>
      <c r="F75" s="12" t="inlineStr">
        <is>
          <t>"The private key is encrypted: enter its passphrase."</t>
        </is>
      </c>
      <c r="G75" s="12" t="n"/>
      <c r="H75" s="12" t="inlineStr">
        <is>
          <t>Yes</t>
        </is>
      </c>
      <c r="I75" s="12" t="inlineStr">
        <is>
          <t>Not run</t>
        </is>
      </c>
      <c r="J75" s="12" t="n"/>
      <c r="K75" s="12" t="n"/>
      <c r="L75" s="13" t="n"/>
      <c r="M75" s="12" t="n"/>
    </row>
    <row r="76">
      <c r="A76" s="12" t="inlineStr">
        <is>
          <t>M12</t>
        </is>
      </c>
      <c r="B76" s="12" t="inlineStr">
        <is>
          <t>2 Model</t>
        </is>
      </c>
      <c r="C76" s="12" t="inlineStr">
        <is>
          <t>10 Model provider</t>
        </is>
      </c>
      <c r="D76" s="12" t="inlineStr">
        <is>
          <t>Certificate without role</t>
        </is>
      </c>
      <c r="E76" s="12" t="inlineStr">
        <is>
          <t>On a second Foundry instance, press Test without enabling it: Use the right certificate on an app that has no role on the Foundry resource.</t>
        </is>
      </c>
      <c r="F76" s="12" t="inlineStr">
        <is>
          <t>HTTP 401 or 403 from Foundry. After a role is added, wait up to five minutes before testing again.</t>
        </is>
      </c>
      <c r="G76" s="12" t="n"/>
      <c r="H76" s="12" t="inlineStr">
        <is>
          <t>Yes</t>
        </is>
      </c>
      <c r="I76" s="12" t="inlineStr">
        <is>
          <t>Not run</t>
        </is>
      </c>
      <c r="J76" s="12" t="n"/>
      <c r="K76" s="12" t="n"/>
      <c r="L76" s="13" t="n"/>
      <c r="M76" s="12" t="n"/>
    </row>
    <row r="77">
      <c r="A77" s="12" t="inlineStr">
        <is>
          <t>M13</t>
        </is>
      </c>
      <c r="B77" s="12" t="inlineStr">
        <is>
          <t>2 Model</t>
        </is>
      </c>
      <c r="C77" s="12" t="inlineStr">
        <is>
          <t>10 Model provider</t>
        </is>
      </c>
      <c r="D77" s="12" t="inlineStr">
        <is>
          <t>Other providers</t>
        </is>
      </c>
      <c r="E77" s="12" t="inlineStr">
        <is>
          <t>Repeat M1 to M8, M14 and M15 for Guardian Vertex or Guardian Cohere, with the Foundry instance disabled. Guardian Cohere needs an engine.</t>
        </is>
      </c>
      <c r="F77" s="12" t="inlineStr">
        <is>
          <t>The same results as M1 to M8, M14 and M15, with that provider and its model.</t>
        </is>
      </c>
      <c r="G77" s="12" t="n"/>
      <c r="H77" s="12" t="inlineStr">
        <is>
          <t>Yes</t>
        </is>
      </c>
      <c r="I77" s="12" t="inlineStr">
        <is>
          <t>Not run</t>
        </is>
      </c>
      <c r="J77" s="12" t="n"/>
      <c r="K77" s="12" t="n"/>
      <c r="L77" s="13" t="n"/>
      <c r="M77" s="12" t="n"/>
    </row>
    <row r="78">
      <c r="A78" s="12" t="inlineStr">
        <is>
          <t>I1</t>
        </is>
      </c>
      <c r="B78" s="12" t="inlineStr">
        <is>
          <t>3 With model</t>
        </is>
      </c>
      <c r="C78" s="12" t="inlineStr">
        <is>
          <t>11 Investigating an issue</t>
        </is>
      </c>
      <c r="D78" s="12" t="inlineStr">
        <is>
          <t>Start an investigation</t>
        </is>
      </c>
      <c r="E78" s="12" t="inlineStr">
        <is>
          <t>In the first investigation issue's War Room: !DeleteContext key=Guardian, then !setPlaybook name=GuardianInvestigateIssue</t>
        </is>
      </c>
      <c r="F78" s="12" t="inlineStr">
        <is>
          <t>The playbook starts. On this platform the War Room shows the loop's start entry and its conclusion; in between, an "Incident was modified" entry about every 30 to 40 seconds shows the turn count and cost rising. Record whether per-turn narration entries also appear. A run usually takes 4 to 10 turns, a few minutes in all. Among the first entries, the Resolve model profile task shows the model size and input budget the run uses, each with its source (catalogue and documented for gpt-5-mini: large, 173400). If no profile was saved before, it writes the documented one now. For a large model the tool catalogue entry lists every allowlisted tool present on the tenant, with no truncation warning.</t>
        </is>
      </c>
      <c r="G78" s="12" t="inlineStr">
        <is>
          <t>Yes</t>
        </is>
      </c>
      <c r="H78" s="12" t="n"/>
      <c r="I78" s="12" t="inlineStr">
        <is>
          <t>Not run</t>
        </is>
      </c>
      <c r="J78" s="12" t="n"/>
      <c r="K78" s="12" t="n"/>
      <c r="L78" s="13" t="n"/>
      <c r="M78" s="12" t="n"/>
    </row>
    <row r="79">
      <c r="A79" s="12" t="inlineStr">
        <is>
          <t>I2</t>
        </is>
      </c>
      <c r="B79" s="12" t="inlineStr">
        <is>
          <t>3 With model</t>
        </is>
      </c>
      <c r="C79" s="12" t="inlineStr">
        <is>
          <t>11 Investigating an issue</t>
        </is>
      </c>
      <c r="D79" s="12" t="inlineStr">
        <is>
          <t>Run conclusion</t>
        </is>
      </c>
      <c r="E79" s="12" t="inlineStr">
        <is>
          <t>Wait for the run to finish.</t>
        </is>
      </c>
      <c r="F79" s="12" t="inlineStr">
        <is>
          <t>The conclusion ends with a verdict block: verdict (Benign, Suspicious, Malicious or Inconclusive), confidence, ATT&amp;CK techniques, summary. Above it, the agent's analysis: the evidence it found and why it chose the verdict. If the run was asked to finish a missing step (a case note or a memory entry), the analysis is still there, followed by the final reply. A case note (War Room Notes). A per-run cost line. On a tenant without custom issue fields (P10), the narration also says once: "Verdict recorded in the conclusion and guardian_audit; not saved to the issue fields". That is expected, and the run does not retry.</t>
        </is>
      </c>
      <c r="G79" s="12" t="n"/>
      <c r="H79" s="12" t="n"/>
      <c r="I79" s="12" t="inlineStr">
        <is>
          <t>Not run</t>
        </is>
      </c>
      <c r="J79" s="12" t="n"/>
      <c r="K79" s="12" t="n"/>
      <c r="L79" s="13" t="n"/>
      <c r="M79" s="12" t="n"/>
    </row>
    <row r="80">
      <c r="A80" s="12" t="inlineStr">
        <is>
          <t>I3</t>
        </is>
      </c>
      <c r="B80" s="12" t="inlineStr">
        <is>
          <t>3 With model</t>
        </is>
      </c>
      <c r="C80" s="12" t="inlineStr">
        <is>
          <t>11 Investigating an issue</t>
        </is>
      </c>
      <c r="D80" s="12" t="inlineStr">
        <is>
          <t>Issue fields written</t>
        </is>
      </c>
      <c r="E80" s="12" t="inlineStr">
        <is>
          <t>Needs custom issue fields: N/A if P10 found them REJECTED or DROPPED. Look at the issue's fields: verdict, confidence, ATT&amp;CK techniques, blast radius, tick count, cost, model, tool calls.</t>
        </is>
      </c>
      <c r="F80" s="12" t="inlineStr">
        <is>
          <t>Record whether the fields were written. The Guardian fields are associated only with the issue type Guardian Agent Run, so on other issue types they may not show, or may not be stored. If they are missing, the verdict is still in the conclusion, the case note and !GuardianLayoutTrace. If your tenant lets you associate fields with issue types, associate the Guardian fields with the types you test and re-run on another issue.</t>
        </is>
      </c>
      <c r="G80" s="12" t="n"/>
      <c r="H80" s="12" t="inlineStr">
        <is>
          <t>Yes</t>
        </is>
      </c>
      <c r="I80" s="12" t="inlineStr">
        <is>
          <t>Not run</t>
        </is>
      </c>
      <c r="J80" s="12" t="n"/>
      <c r="K80" s="12" t="n"/>
      <c r="L80" s="13" t="n"/>
      <c r="M80" s="12" t="n"/>
    </row>
    <row r="81">
      <c r="A81" s="12" t="inlineStr">
        <is>
          <t>I4</t>
        </is>
      </c>
      <c r="B81" s="12" t="inlineStr">
        <is>
          <t>3 With model</t>
        </is>
      </c>
      <c r="C81" s="12" t="inlineStr">
        <is>
          <t>11 Investigating an issue</t>
        </is>
      </c>
      <c r="D81" s="12" t="inlineStr">
        <is>
          <t>Trace and tool ledger</t>
        </is>
      </c>
      <c r="E81" s="12" t="inlineStr">
        <is>
          <t>!GuardianLayoutTrace, then !GuardianLayoutToolLedger</t>
        </is>
      </c>
      <c r="F81" s="12" t="inlineStr">
        <is>
          <t>The turn-by-turn trace (status done), and every tool the agent called with its status. Denied rows show the gate working: record which tools were denied.</t>
        </is>
      </c>
      <c r="G81" s="12" t="n"/>
      <c r="H81" s="12" t="n"/>
      <c r="I81" s="12" t="inlineStr">
        <is>
          <t>Not run</t>
        </is>
      </c>
      <c r="J81" s="12" t="n"/>
      <c r="K81" s="12" t="n"/>
      <c r="L81" s="13" t="n"/>
      <c r="M81" s="12" t="n"/>
    </row>
    <row r="82">
      <c r="A82" s="12" t="inlineStr">
        <is>
          <t>I5</t>
        </is>
      </c>
      <c r="B82" s="12" t="inlineStr">
        <is>
          <t>3 With model</t>
        </is>
      </c>
      <c r="C82" s="12" t="inlineStr">
        <is>
          <t>11 Investigating an issue</t>
        </is>
      </c>
      <c r="D82" s="12" t="inlineStr">
        <is>
          <t>Other investigation issues</t>
        </is>
      </c>
      <c r="E82" s="12" t="inlineStr">
        <is>
          <t>Repeat I1 to I4 on the other investigation issues, one at a time.</t>
        </is>
      </c>
      <c r="F82" s="12" t="inlineStr">
        <is>
          <t>A sensible verdict for each. The false positive should not come out Malicious.</t>
        </is>
      </c>
      <c r="G82" s="12" t="inlineStr">
        <is>
          <t>Yes</t>
        </is>
      </c>
      <c r="H82" s="12" t="n"/>
      <c r="I82" s="12" t="inlineStr">
        <is>
          <t>Not run</t>
        </is>
      </c>
      <c r="J82" s="12" t="n"/>
      <c r="K82" s="12" t="n"/>
      <c r="L82" s="13" t="n"/>
      <c r="M82" s="12" t="n"/>
    </row>
    <row r="83">
      <c r="A83" s="12" t="inlineStr">
        <is>
          <t>I6</t>
        </is>
      </c>
      <c r="B83" s="12" t="inlineStr">
        <is>
          <t>3 With model</t>
        </is>
      </c>
      <c r="C83" s="12" t="inlineStr">
        <is>
          <t>11 Investigating an issue</t>
        </is>
      </c>
      <c r="D83" s="12" t="inlineStr">
        <is>
          <t>Answer the agent</t>
        </is>
      </c>
      <c r="E83" s="12" t="inlineStr">
        <is>
          <t>While a run is going, answer any question the agent posts with !guardian-chat message="&lt;your answer&gt;".</t>
        </is>
      </c>
      <c r="F83" s="12" t="inlineStr">
        <is>
          <t>The next turn uses your answer.</t>
        </is>
      </c>
      <c r="G83" s="12" t="inlineStr">
        <is>
          <t>Yes</t>
        </is>
      </c>
      <c r="H83" s="12" t="n"/>
      <c r="I83" s="12" t="inlineStr">
        <is>
          <t>Not run</t>
        </is>
      </c>
      <c r="J83" s="12" t="n"/>
      <c r="K83" s="12" t="n"/>
      <c r="L83" s="13" t="n"/>
      <c r="M83" s="12" t="n"/>
    </row>
    <row r="84">
      <c r="A84" s="12" t="inlineStr">
        <is>
          <t>I7</t>
        </is>
      </c>
      <c r="B84" s="12" t="inlineStr">
        <is>
          <t>3 With model</t>
        </is>
      </c>
      <c r="C84" s="12" t="inlineStr">
        <is>
          <t>11 Investigating an issue</t>
        </is>
      </c>
      <c r="D84" s="12" t="inlineStr">
        <is>
          <t>Re-open a finished run</t>
        </is>
      </c>
      <c r="E84" s="12" t="inlineStr">
        <is>
          <t>After a run has finished: !guardian-chat message="Check the most suspicious entity again and say whether your verdict changes." Then resume the run with !setPlaybook name=GuardianInvestigateIssue, without !DeleteContext this time. (The reply names GuardianAgentLoop; either playbook resumes a re-opened run, with its own transcript and scope.)</t>
        </is>
      </c>
      <c r="F84" s="12" t="inlineStr">
        <is>
          <t>The reply says the loop was re-opened. The agent works on your request and concludes again; the trace continues from the earlier turns.</t>
        </is>
      </c>
      <c r="G84" s="12" t="inlineStr">
        <is>
          <t>Yes</t>
        </is>
      </c>
      <c r="H84" s="12" t="n"/>
      <c r="I84" s="12" t="inlineStr">
        <is>
          <t>Not run</t>
        </is>
      </c>
      <c r="J84" s="12" t="n"/>
      <c r="K84" s="12" t="n"/>
      <c r="L84" s="13" t="n"/>
      <c r="M84" s="12" t="n"/>
    </row>
    <row r="85">
      <c r="A85" s="12" t="inlineStr">
        <is>
          <t>I8</t>
        </is>
      </c>
      <c r="B85" s="12" t="inlineStr">
        <is>
          <t>3 With model</t>
        </is>
      </c>
      <c r="C85" s="12" t="inlineStr">
        <is>
          <t>11 Investigating an issue</t>
        </is>
      </c>
      <c r="D85" s="12" t="inlineStr">
        <is>
          <t>Stray re-entry stops</t>
        </is>
      </c>
      <c r="E85" s="12" t="inlineStr">
        <is>
          <t>Run !setPlaybook name=GuardianInvestigateIssue on a finished issue without !DeleteContext key=Guardian first.</t>
        </is>
      </c>
      <c r="F85" s="12" t="inlineStr">
        <is>
          <t>The run stops at once with "loop already ... ignoring stray re-entry". This is expected; run !DeleteContext key=Guardian first.</t>
        </is>
      </c>
      <c r="G85" s="12" t="n"/>
      <c r="H85" s="12" t="n"/>
      <c r="I85" s="12" t="inlineStr">
        <is>
          <t>Not run</t>
        </is>
      </c>
      <c r="J85" s="12" t="n"/>
      <c r="K85" s="12" t="n"/>
      <c r="L85" s="13" t="n"/>
      <c r="M85" s="12" t="n"/>
    </row>
    <row r="86">
      <c r="A86" s="12" t="inlineStr">
        <is>
          <t>I9</t>
        </is>
      </c>
      <c r="B86" s="12" t="inlineStr">
        <is>
          <t>3 With model</t>
        </is>
      </c>
      <c r="C86" s="12" t="inlineStr">
        <is>
          <t>11 Investigating an issue</t>
        </is>
      </c>
      <c r="D86" s="12" t="inlineStr">
        <is>
          <t>Deny a proposed action</t>
        </is>
      </c>
      <c r="E86" s="12" t="inlineStr">
        <is>
          <t>If the agent proposes an action (for example closing the issue or tagging an endpoint), it is held as in section 5. Deny it with !guardian-deny approval_id=&lt;ID&gt; reason="test".</t>
        </is>
      </c>
      <c r="F86" s="12" t="inlineStr">
        <is>
          <t>The run carries on without the action, and the deny reason appears in its reasoning.</t>
        </is>
      </c>
      <c r="G86" s="12" t="n"/>
      <c r="H86" s="12" t="n"/>
      <c r="I86" s="12" t="inlineStr">
        <is>
          <t>Not run</t>
        </is>
      </c>
      <c r="J86" s="12" t="n"/>
      <c r="K86" s="12" t="n"/>
      <c r="L86" s="13" t="n"/>
      <c r="M86" s="12" t="n"/>
    </row>
    <row r="87">
      <c r="A87" s="12" t="inlineStr">
        <is>
          <t>I10</t>
        </is>
      </c>
      <c r="B87" s="12" t="inlineStr">
        <is>
          <t>3 With model</t>
        </is>
      </c>
      <c r="C87" s="12" t="inlineStr">
        <is>
          <t>11 Investigating an issue</t>
        </is>
      </c>
      <c r="D87" s="12" t="inlineStr">
        <is>
          <t>Investigation costs</t>
        </is>
      </c>
      <c r="E87" s="12" t="inlineStr">
        <is>
          <t>!guardian-cost</t>
        </is>
      </c>
      <c r="F87" s="12" t="inlineStr">
        <is>
          <t>The investigations' costs. If the cost is $0 with a warning, the model has no row in guardian_pricing (L7): record it.</t>
        </is>
      </c>
      <c r="G87" s="12" t="n"/>
      <c r="H87" s="12" t="n"/>
      <c r="I87" s="12" t="inlineStr">
        <is>
          <t>Not run</t>
        </is>
      </c>
      <c r="J87" s="12" t="n"/>
      <c r="K87" s="12" t="n"/>
      <c r="L87" s="13" t="n"/>
      <c r="M87" s="12" t="n"/>
    </row>
    <row r="88">
      <c r="A88" s="12" t="inlineStr">
        <is>
          <t>G1</t>
        </is>
      </c>
      <c r="B88" s="12" t="inlineStr">
        <is>
          <t>3 With model</t>
        </is>
      </c>
      <c r="C88" s="12" t="inlineStr">
        <is>
          <t>12 Conclusion-quality gate</t>
        </is>
      </c>
      <c r="D88" s="12" t="inlineStr">
        <is>
          <t>Evidence for verdicts</t>
        </is>
      </c>
      <c r="E88" s="12" t="inlineStr">
        <is>
          <t>For each run with a Benign or Malicious verdict above 70, open !GuardianLayoutToolLedger.</t>
        </is>
      </c>
      <c r="F88" s="12" t="inlineStr">
        <is>
          <t>At least one successful tool that adds evidence beyond the alert itself: an enrichment or lookup such as findIndicators or an IP, domain or endpoint check. These do not count: getIncidents, getEntries, SearchIncidentsV2, GuardianMemory, GuardianCaseNote, GuardianKBSearch, GuardianSkillRead, GuardianAskAnalyst.</t>
        </is>
      </c>
      <c r="G88" s="12" t="n"/>
      <c r="H88" s="12" t="n"/>
      <c r="I88" s="12" t="inlineStr">
        <is>
          <t>Not run</t>
        </is>
      </c>
      <c r="J88" s="12" t="n"/>
      <c r="K88" s="12" t="n"/>
      <c r="L88" s="13" t="n"/>
      <c r="M88" s="12" t="n"/>
    </row>
    <row r="89">
      <c r="A89" s="12" t="inlineStr">
        <is>
          <t>G2</t>
        </is>
      </c>
      <c r="B89" s="12" t="inlineStr">
        <is>
          <t>3 With model</t>
        </is>
      </c>
      <c r="C89" s="12" t="inlineStr">
        <is>
          <t>12 Conclusion-quality gate</t>
        </is>
      </c>
      <c r="D89" s="12" t="inlineStr">
        <is>
          <t>Corrective turn and downgrade</t>
        </is>
      </c>
      <c r="E89" s="12" t="inlineStr">
        <is>
          <t>If a run had no such evidence.</t>
        </is>
      </c>
      <c r="F89" s="12" t="inlineStr">
        <is>
          <t>One corrective turn (gate action nudged). If evidence still lacks, the verdict is recorded as Suspicious, confidence 65 or lower, with a "Guardian calibration" note (gate action downgraded).</t>
        </is>
      </c>
      <c r="G89" s="12" t="n"/>
      <c r="H89" s="12" t="n"/>
      <c r="I89" s="12" t="inlineStr">
        <is>
          <t>Not run</t>
        </is>
      </c>
      <c r="J89" s="12" t="n"/>
      <c r="K89" s="12" t="n"/>
      <c r="L89" s="13" t="n"/>
      <c r="M89" s="12" t="n"/>
    </row>
    <row r="90">
      <c r="A90" s="12" t="inlineStr">
        <is>
          <t>G3</t>
        </is>
      </c>
      <c r="B90" s="12" t="inlineStr">
        <is>
          <t>3 With model</t>
        </is>
      </c>
      <c r="C90" s="12" t="inlineStr">
        <is>
          <t>12 Conclusion-quality gate</t>
        </is>
      </c>
      <c r="D90" s="12" t="inlineStr">
        <is>
          <t>Case note and memory</t>
        </is>
      </c>
      <c r="E90" s="12" t="inlineStr">
        <is>
          <t>Each GuardianInvestigateIssue run.</t>
        </is>
      </c>
      <c r="F90" s="12" t="inlineStr">
        <is>
          <t>A case note and a memory entry were written. If either is missing, the conclusion says "the run ended without: ...".</t>
        </is>
      </c>
      <c r="G90" s="12" t="n"/>
      <c r="H90" s="12" t="n"/>
      <c r="I90" s="12" t="inlineStr">
        <is>
          <t>Not run</t>
        </is>
      </c>
      <c r="J90" s="12" t="n"/>
      <c r="K90" s="12" t="n"/>
      <c r="L90" s="13" t="n"/>
      <c r="M90" s="12" t="n"/>
    </row>
    <row r="91">
      <c r="A91" s="12" t="inlineStr">
        <is>
          <t>C1</t>
        </is>
      </c>
      <c r="B91" s="12" t="inlineStr">
        <is>
          <t>3 With model</t>
        </is>
      </c>
      <c r="C91" s="12" t="inlineStr">
        <is>
          <t>13 Drafting a playbook</t>
        </is>
      </c>
      <c r="D91" s="12" t="inlineStr">
        <is>
          <t>Draft a playbook</t>
        </is>
      </c>
      <c r="E91" s="12" t="inlineStr">
        <is>
          <t>On an issue whose run has finished: !guardian-chat message="Draft a Cortex platform playbook that enriches the IP addresses in an issue and adds a summary note. Draft only; do not import it." Then resume the run as in I7: !setPlaybook name=GuardianInvestigateIssue, without !DeleteContext.</t>
        </is>
      </c>
      <c r="F91" s="12" t="inlineStr">
        <is>
          <t>The trace shows GuardianSkillRead with build_cortex_playbook. The answer is a reviewable draft (YAML) marked as a draft.</t>
        </is>
      </c>
      <c r="G91" s="12" t="inlineStr">
        <is>
          <t>Yes</t>
        </is>
      </c>
      <c r="H91" s="12" t="n"/>
      <c r="I91" s="12" t="inlineStr">
        <is>
          <t>Not run</t>
        </is>
      </c>
      <c r="J91" s="12" t="n"/>
      <c r="K91" s="12" t="n"/>
      <c r="L91" s="13" t="n"/>
      <c r="M91" s="12" t="n"/>
    </row>
    <row r="92">
      <c r="A92" s="12" t="inlineStr">
        <is>
          <t>C2</t>
        </is>
      </c>
      <c r="B92" s="12" t="inlineStr">
        <is>
          <t>3 With model</t>
        </is>
      </c>
      <c r="C92" s="12" t="inlineStr">
        <is>
          <t>13 Drafting a playbook</t>
        </is>
      </c>
      <c r="D92" s="12" t="inlineStr">
        <is>
          <t>Nothing imported</t>
        </is>
      </c>
      <c r="E92" s="12" t="inlineStr">
        <is>
          <t>Check the ledger.</t>
        </is>
      </c>
      <c r="F92" s="12" t="inlineStr">
        <is>
          <t>No playbook was imported or attached. If the agent proposed importPlaybook or setPlaybook, it was held for approval: deny it.</t>
        </is>
      </c>
      <c r="G92" s="12" t="n"/>
      <c r="H92" s="12" t="n"/>
      <c r="I92" s="12" t="inlineStr">
        <is>
          <t>Not run</t>
        </is>
      </c>
      <c r="J92" s="12" t="n"/>
      <c r="K92" s="12" t="n"/>
      <c r="L92" s="13" t="n"/>
      <c r="M92" s="12" t="n"/>
    </row>
    <row r="93">
      <c r="A93" s="12" t="inlineStr">
        <is>
          <t>R1</t>
        </is>
      </c>
      <c r="B93" s="12" t="inlineStr">
        <is>
          <t>3 With model</t>
        </is>
      </c>
      <c r="C93" s="12" t="inlineStr">
        <is>
          <t>14 Memory from the runs</t>
        </is>
      </c>
      <c r="D93" s="12" t="inlineStr">
        <is>
          <t>Search case memory</t>
        </is>
      </c>
      <c r="E93" s="12" t="inlineStr">
        <is>
          <t>!GuardianMemory op=search query="&lt;an entity from an investigated issue&gt;"</t>
        </is>
      </c>
      <c r="F93" s="12" t="inlineStr">
        <is>
          <t>The case memory that run stored. The War Room entry gives only the count; read the rows with !getContext key=Guardian.Memory.results.</t>
        </is>
      </c>
      <c r="G93" s="12" t="n"/>
      <c r="H93" s="12" t="n"/>
      <c r="I93" s="12" t="inlineStr">
        <is>
          <t>Not run</t>
        </is>
      </c>
      <c r="J93" s="12" t="n"/>
      <c r="K93" s="12" t="n"/>
      <c r="L93" s="13" t="n"/>
      <c r="M93" s="12" t="n"/>
    </row>
    <row r="94">
      <c r="A94" s="12" t="inlineStr">
        <is>
          <t>R2</t>
        </is>
      </c>
      <c r="B94" s="12" t="inlineStr">
        <is>
          <t>3 With model</t>
        </is>
      </c>
      <c r="C94" s="12" t="inlineStr">
        <is>
          <t>14 Memory from the runs</t>
        </is>
      </c>
      <c r="D94" s="12" t="inlineStr">
        <is>
          <t>Related issue reads memory</t>
        </is>
      </c>
      <c r="E94" s="12" t="inlineStr">
        <is>
          <t>Investigate an issue related to an earlier one (same host, user or IP address), as in I1.</t>
        </is>
      </c>
      <c r="F94" s="12" t="inlineStr">
        <is>
          <t>Its trace shows the earlier case memory being read in the first turns.</t>
        </is>
      </c>
      <c r="G94" s="12" t="inlineStr">
        <is>
          <t>Yes</t>
        </is>
      </c>
      <c r="H94" s="12" t="n"/>
      <c r="I94" s="12" t="inlineStr">
        <is>
          <t>Not run</t>
        </is>
      </c>
      <c r="J94" s="12" t="n"/>
      <c r="K94" s="12" t="n"/>
      <c r="L94" s="13" t="n"/>
      <c r="M94" s="12" t="n"/>
    </row>
    <row r="95">
      <c r="A95" s="12" t="inlineStr">
        <is>
          <t>U1</t>
        </is>
      </c>
      <c r="B95" s="12" t="inlineStr">
        <is>
          <t>3 With model</t>
        </is>
      </c>
      <c r="C95" s="12" t="inlineStr">
        <is>
          <t>15 Upkeep after the runs</t>
        </is>
      </c>
      <c r="D95" s="12" t="inlineStr">
        <is>
          <t>Expiry and consolidation</t>
        </is>
      </c>
      <c r="E95" s="12" t="inlineStr">
        <is>
          <t>At least 60 minutes after A9: !GuardianHousekeeping, then !GuardianWidgetApprovalsQueue</t>
        </is>
      </c>
      <c r="F95" s="12" t="inlineStr">
        <is>
          <t>A9's approval is marked expired and no longer pending. N1's memory row (one-hour ttl) is removed. The runs' audit rows are consolidated into guardian_audit.</t>
        </is>
      </c>
      <c r="G95" s="12" t="n"/>
      <c r="H95" s="12" t="n"/>
      <c r="I95" s="12" t="inlineStr">
        <is>
          <t>Not run</t>
        </is>
      </c>
      <c r="J95" s="12" t="n"/>
      <c r="K95" s="12" t="n"/>
      <c r="L95" s="13" t="n"/>
      <c r="M95" s="12" t="n"/>
    </row>
    <row r="96">
      <c r="A96" s="12" t="inlineStr">
        <is>
          <t>U2</t>
        </is>
      </c>
      <c r="B96" s="12" t="inlineStr">
        <is>
          <t>3 With model</t>
        </is>
      </c>
      <c r="C96" s="12" t="inlineStr">
        <is>
          <t>15 Upkeep after the runs</t>
        </is>
      </c>
      <c r="D96" s="12" t="inlineStr">
        <is>
          <t>Case capture with runs</t>
        </is>
      </c>
      <c r="E96" s="12" t="inlineStr">
        <is>
          <t>Needs custom issue fields: N/A if P10 found them REJECTED or DROPPED. Close an investigated issue the normal way, then !GuardianCaseCapture</t>
        </is>
      </c>
      <c r="F96" s="12" t="inlineStr">
        <is>
          <t>A memory row for the closed issue with its verdict. Check it with R1's search. It finds closed issues by their Guardian verdict field, so it needs I3 to have found the fields written: if not, it captures nothing (record N/A).</t>
        </is>
      </c>
      <c r="G96" s="12" t="n"/>
      <c r="H96" s="12" t="inlineStr">
        <is>
          <t>Yes</t>
        </is>
      </c>
      <c r="I96" s="12" t="inlineStr">
        <is>
          <t>Not run</t>
        </is>
      </c>
      <c r="J96" s="12" t="n"/>
      <c r="K96" s="12" t="n"/>
      <c r="L96" s="13" t="n"/>
      <c r="M96" s="12" t="n"/>
    </row>
    <row r="97">
      <c r="A97" s="12" t="inlineStr">
        <is>
          <t>U3</t>
        </is>
      </c>
      <c r="B97" s="12" t="inlineStr">
        <is>
          <t>3 With model</t>
        </is>
      </c>
      <c r="C97" s="12" t="inlineStr">
        <is>
          <t>15 Upkeep after the runs</t>
        </is>
      </c>
      <c r="D97" s="12" t="inlineStr">
        <is>
          <t>Evaluation harvest with runs</t>
        </is>
      </c>
      <c r="E97" s="12" t="inlineStr">
        <is>
          <t>Needs custom issue fields: N/A if P10 found them REJECTED or DROPPED. !GuardianEvalHarvest, then !getList listName=guardian_eval_cases_runtime</t>
        </is>
      </c>
      <c r="F97" s="12" t="inlineStr">
        <is>
          <t>An evaluation case made from U2's closed issue, with Guardian's verdict as the expected one. Same condition as U2; simulated issues (X1) are never harvested.</t>
        </is>
      </c>
      <c r="G97" s="12" t="n"/>
      <c r="H97" s="12" t="inlineStr">
        <is>
          <t>Yes</t>
        </is>
      </c>
      <c r="I97" s="12" t="inlineStr">
        <is>
          <t>Not run</t>
        </is>
      </c>
      <c r="J97" s="12" t="n"/>
      <c r="K97" s="12" t="n"/>
      <c r="L97" s="13" t="n"/>
      <c r="M97" s="12" t="n"/>
    </row>
    <row r="98">
      <c r="A98" s="12" t="inlineStr">
        <is>
          <t>U4</t>
        </is>
      </c>
      <c r="B98" s="12" t="inlineStr">
        <is>
          <t>3 With model</t>
        </is>
      </c>
      <c r="C98" s="12" t="inlineStr">
        <is>
          <t>15 Upkeep after the runs</t>
        </is>
      </c>
      <c r="D98" s="12" t="inlineStr">
        <is>
          <t>Widgets with run data</t>
        </is>
      </c>
      <c r="E98" s="12" t="inlineStr">
        <is>
          <t>The five widget commands from O5</t>
        </is>
      </c>
      <c r="F98" s="12" t="inlineStr">
        <is>
          <t>The tables now show the runs: costs, tool calls, loop health and events. Known gap: loop health counts only open Guardian Agent Run issues, so on a tenant where runs happen on ordinary issues it shows zeros; record it.</t>
        </is>
      </c>
      <c r="G98" s="12" t="n"/>
      <c r="H98" s="12" t="n"/>
      <c r="I98" s="12" t="inlineStr">
        <is>
          <t>Not run</t>
        </is>
      </c>
      <c r="J98" s="12" t="n"/>
      <c r="K98" s="12" t="n"/>
      <c r="L98" s="13" t="n"/>
      <c r="M98" s="12" t="n"/>
    </row>
    <row r="99">
      <c r="A99" s="12" t="inlineStr">
        <is>
          <t>U5</t>
        </is>
      </c>
      <c r="B99" s="12" t="inlineStr">
        <is>
          <t>3 With model</t>
        </is>
      </c>
      <c r="C99" s="12" t="inlineStr">
        <is>
          <t>15 Upkeep after the runs</t>
        </is>
      </c>
      <c r="D99" s="12" t="inlineStr">
        <is>
          <t>Queue triage by hand</t>
        </is>
      </c>
      <c r="E99" s="12" t="inlineStr">
        <is>
          <t>Queue triage by hand, the GuardianIntakeSweep Job's work: on the workbench issue, !DeleteContext key=Guardian, then !setPlaybook name=GuardianAgentLoop.</t>
        </is>
      </c>
      <c r="F99" s="12" t="inlineStr">
        <is>
          <t>A read-only triage of the open queue. It takes longer than one investigation.</t>
        </is>
      </c>
      <c r="G99" s="12" t="inlineStr">
        <is>
          <t>Yes</t>
        </is>
      </c>
      <c r="H99" s="12" t="inlineStr">
        <is>
          <t>Yes</t>
        </is>
      </c>
      <c r="I99" s="12" t="inlineStr">
        <is>
          <t>Not run</t>
        </is>
      </c>
      <c r="J99" s="12" t="n"/>
      <c r="K99" s="12" t="n"/>
      <c r="L99" s="13" t="n"/>
      <c r="M99" s="12" t="n"/>
    </row>
    <row r="100">
      <c r="A100" s="12" t="inlineStr">
        <is>
          <t>F1</t>
        </is>
      </c>
      <c r="B100" s="12" t="inlineStr">
        <is>
          <t>3 With model</t>
        </is>
      </c>
      <c r="C100" s="12" t="inlineStr">
        <is>
          <t>16 Finishing</t>
        </is>
      </c>
      <c r="D100" s="12" t="inlineStr">
        <is>
          <t>No approvals pending</t>
        </is>
      </c>
      <c r="E100" s="12" t="inlineStr">
        <is>
          <t>!GuardianWidgetApprovalsQueue</t>
        </is>
      </c>
      <c r="F100" s="12" t="inlineStr">
        <is>
          <t>No approval left pending. Deny any leftovers.</t>
        </is>
      </c>
      <c r="G100" s="12" t="n"/>
      <c r="H100" s="12" t="n"/>
      <c r="I100" s="12" t="inlineStr">
        <is>
          <t>Not run</t>
        </is>
      </c>
      <c r="J100" s="12" t="n"/>
      <c r="K100" s="12" t="n"/>
      <c r="L100" s="13" t="n"/>
      <c r="M100" s="12" t="n"/>
    </row>
    <row r="101">
      <c r="A101" s="12" t="inlineStr">
        <is>
          <t>F2</t>
        </is>
      </c>
      <c r="B101" s="12" t="inlineStr">
        <is>
          <t>3 With model</t>
        </is>
      </c>
      <c r="C101" s="12" t="inlineStr">
        <is>
          <t>16 Finishing</t>
        </is>
      </c>
      <c r="D101" s="12" t="inlineStr">
        <is>
          <t>Kill switch decision</t>
        </is>
      </c>
      <c r="E101" s="12" t="inlineStr">
        <is>
          <t>Decide the kill switch: off if Guardian stays in use, on if it should stay idle until the next session.</t>
        </is>
      </c>
      <c r="F101" s="12" t="inlineStr">
        <is>
          <t>!GuardianKillSwitchCheck shows your choice.</t>
        </is>
      </c>
      <c r="G101" s="12" t="n"/>
      <c r="H101" s="12" t="n"/>
      <c r="I101" s="12" t="inlineStr">
        <is>
          <t>Not run</t>
        </is>
      </c>
      <c r="J101" s="12" t="n"/>
      <c r="K101" s="12" t="n"/>
      <c r="L101" s="13" t="n"/>
      <c r="M101" s="12" t="n"/>
    </row>
    <row r="102">
      <c r="A102" s="12" t="inlineStr">
        <is>
          <t>F3</t>
        </is>
      </c>
      <c r="B102" s="12" t="inlineStr">
        <is>
          <t>3 With model</t>
        </is>
      </c>
      <c r="C102" s="12" t="inlineStr">
        <is>
          <t>16 Finishing</t>
        </is>
      </c>
      <c r="D102" s="12" t="inlineStr">
        <is>
          <t>Remove temporary credential</t>
        </is>
      </c>
      <c r="E102" s="12" t="inlineStr">
        <is>
          <t>If you used a temporary certificate or secret for the test, remove it from the app registration (Certificates &amp; secrets) and give the production instance its own credential.</t>
        </is>
      </c>
      <c r="F102" s="12" t="inlineStr">
        <is>
          <t>The test credential is removed.</t>
        </is>
      </c>
      <c r="G102" s="12" t="n"/>
      <c r="H102" s="12" t="n"/>
      <c r="I102" s="12" t="inlineStr">
        <is>
          <t>Not run</t>
        </is>
      </c>
      <c r="J102" s="12" t="n"/>
      <c r="K102" s="12" t="n"/>
      <c r="L102" s="13" t="n"/>
      <c r="M102" s="12" t="n"/>
    </row>
    <row r="103">
      <c r="A103" s="12" t="inlineStr">
        <is>
          <t>F4</t>
        </is>
      </c>
      <c r="B103" s="12" t="inlineStr">
        <is>
          <t>3 With model</t>
        </is>
      </c>
      <c r="C103" s="12" t="inlineStr">
        <is>
          <t>16 Finishing</t>
        </is>
      </c>
      <c r="D103" s="12" t="inlineStr">
        <is>
          <t>Upkeep owner and schedule</t>
        </is>
      </c>
      <c r="E103" s="12" t="inlineStr">
        <is>
          <t>Agree who runs the section 8 upkeep by hand, and how often, while Guardian is in use.</t>
        </is>
      </c>
      <c r="F103" s="12" t="inlineStr">
        <is>
          <t>A named owner and schedule.</t>
        </is>
      </c>
      <c r="G103" s="12" t="n"/>
      <c r="H103" s="12" t="n"/>
      <c r="I103" s="12" t="inlineStr">
        <is>
          <t>Not run</t>
        </is>
      </c>
      <c r="J103" s="12" t="n"/>
      <c r="K103" s="12" t="n"/>
      <c r="L103" s="13" t="n"/>
      <c r="M103" s="12" t="n"/>
    </row>
    <row r="104">
      <c r="A104" s="12" t="inlineStr">
        <is>
          <t>C1</t>
        </is>
      </c>
      <c r="B104" s="12" t="inlineStr">
        <is>
          <t>3 With model</t>
        </is>
      </c>
      <c r="C104" s="12" t="inlineStr">
        <is>
          <t>17 Cortex-native investigation</t>
        </is>
      </c>
      <c r="D104" s="12" t="inlineStr">
        <is>
          <t>Route an issue</t>
        </is>
      </c>
      <c r="E104" s="12" t="inlineStr">
        <is>
          <t>In an issue's War Room run !GuardianIssueRoute. Try it on a posture finding (a CSPM, CIEM, CVE or attack-path issue) and on a threat detection if the tenant has one.</t>
        </is>
      </c>
      <c r="F104" s="12" t="inlineStr">
        <is>
          <t>Guardian.Route shows the family (misconfiguration, identity, vulnerability, code_risk, attack_path, kubernetes_cis or detection), the skill for it, the evidence plan and the assessment mode (posture or verdict). Record the family you expected against the one you got; a wrong or "unknown" family means the guardian_issue_routes list needs a row for that scanner.</t>
        </is>
      </c>
      <c r="G104" s="12" t="n"/>
      <c r="H104" s="12" t="n"/>
      <c r="I104" s="12" t="inlineStr">
        <is>
          <t>Not run</t>
        </is>
      </c>
      <c r="J104" s="12" t="n"/>
      <c r="K104" s="12" t="n"/>
      <c r="L104" s="13" t="n"/>
      <c r="M104" s="12" t="n"/>
    </row>
    <row r="105">
      <c r="A105" s="12" t="inlineStr">
        <is>
          <t>C2</t>
        </is>
      </c>
      <c r="B105" s="12" t="inlineStr">
        <is>
          <t>3 With model</t>
        </is>
      </c>
      <c r="C105" s="12" t="inlineStr">
        <is>
          <t>17 Cortex-native investigation</t>
        </is>
      </c>
      <c r="D105" s="12" t="inlineStr">
        <is>
          <t>Gather the evidence packet</t>
        </is>
      </c>
      <c r="E105" s="12" t="inlineStr">
        <is>
          <t>Run !GuardianIssueEvidence on the same issue.</t>
        </is>
      </c>
      <c r="F105" s="12" t="inlineStr">
        <is>
          <t>Guardian.Evidence.rendered holds one section per step: issue_fields, issue_status, recommendations, asset:&lt;id&gt;, the case, prior_rules and memory. Record every section listed under "Not available on this tenant or failed" with its error. Three calls are unverified on a real tenant and must be checked here: core-get-issues issue_id=&lt;id&gt; (does it return this issue?), core-get-issues rule_id=&lt;id&gt; status=Resolved (does it return earlier resolved issues, with their resolution?) and core-get-cloud-original-alerts alert_ids=&lt;id&gt; (detections only: does it take the issue id?). The call count and failures are in the readable output. No compute units are used.</t>
        </is>
      </c>
      <c r="G105" s="12" t="n"/>
      <c r="H105" s="12" t="n"/>
      <c r="I105" s="12" t="inlineStr">
        <is>
          <t>Not run</t>
        </is>
      </c>
      <c r="J105" s="12" t="n"/>
      <c r="K105" s="12" t="n"/>
      <c r="L105" s="13" t="n"/>
      <c r="M105" s="12" t="n"/>
    </row>
    <row r="106">
      <c r="A106" s="12" t="inlineStr">
        <is>
          <t>C3</t>
        </is>
      </c>
      <c r="B106" s="12" t="inlineStr">
        <is>
          <t>3 With model</t>
        </is>
      </c>
      <c r="C106" s="12" t="inlineStr">
        <is>
          <t>17 Cortex-native investigation</t>
        </is>
      </c>
      <c r="D106" s="12" t="inlineStr">
        <is>
          <t>A posture run</t>
        </is>
      </c>
      <c r="E106" s="12" t="inlineStr">
        <is>
          <t>Run GuardianInvestigateIssue on a posture issue (clear context first: !DeleteContext key=Guardian).</t>
        </is>
      </c>
      <c r="F106" s="12" t="inlineStr">
        <is>
          <t>The first entries show the route and "Evidence packet: pinned (n calls, n failed)". The model does not re-fetch what the packet holds. It checks that the condition still holds (asset details), then writes a case note in the posture report format. The conclusion ends with the posture block: assessment (Confirmed, Not reproducible or Accepted risk candidate), priority P1 to P4, exposure, owner, fix. It must not end with a Malicious/Suspicious/Benign verdict.</t>
        </is>
      </c>
      <c r="G106" s="12" t="inlineStr">
        <is>
          <t>Yes</t>
        </is>
      </c>
      <c r="H106" s="12" t="n"/>
      <c r="I106" s="12" t="inlineStr">
        <is>
          <t>Not run</t>
        </is>
      </c>
      <c r="J106" s="12" t="n"/>
      <c r="K106" s="12" t="n"/>
      <c r="L106" s="13" t="n"/>
      <c r="M106" s="12" t="n"/>
    </row>
    <row r="107">
      <c r="A107" s="12" t="inlineStr">
        <is>
          <t>C4</t>
        </is>
      </c>
      <c r="B107" s="12" t="inlineStr">
        <is>
          <t>3 With model</t>
        </is>
      </c>
      <c r="C107" s="12" t="inlineStr">
        <is>
          <t>17 Cortex-native investigation</t>
        </is>
      </c>
      <c r="D107" s="12" t="inlineStr">
        <is>
          <t>Guardian did not use XSOAR commands</t>
        </is>
      </c>
      <c r="E107" s="12" t="inlineStr">
        <is>
          <t>Open the tool ledger (!GuardianLayoutToolLedger) after C3.</t>
        </is>
      </c>
      <c r="F107" s="12" t="inlineStr">
        <is>
          <t>No call to getIncidents, getEntries, SearchIncidentsV2, findIndicators or setIncident. Calls are Cortex commands (core-get-issues with page_size and output_keys, core-get-asset-details, core-get-case-extra-data) and Guardian tools. Record any call that failed on a wrong argument.</t>
        </is>
      </c>
      <c r="G107" s="12" t="n"/>
      <c r="H107" s="12" t="n"/>
      <c r="I107" s="12" t="inlineStr">
        <is>
          <t>Not run</t>
        </is>
      </c>
      <c r="J107" s="12" t="n"/>
      <c r="K107" s="12" t="n"/>
      <c r="L107" s="13" t="n"/>
      <c r="M107" s="12" t="n"/>
    </row>
    <row r="108">
      <c r="A108" s="12" t="inlineStr">
        <is>
          <t>C5</t>
        </is>
      </c>
      <c r="B108" s="12" t="inlineStr">
        <is>
          <t>3 With model</t>
        </is>
      </c>
      <c r="C108" s="12" t="inlineStr">
        <is>
          <t>17 Cortex-native investigation</t>
        </is>
      </c>
      <c r="D108" s="12" t="inlineStr">
        <is>
          <t>A detection run with XQL</t>
        </is>
      </c>
      <c r="E108" s="12" t="inlineStr">
        <is>
          <t>Run GuardianInvestigateIssue on a threat detection (domain Security), if the tenant has one.</t>
        </is>
      </c>
      <c r="F108" s="12" t="inlineStr">
        <is>
          <t>The model gathers the identity's surrounding activity (GuardianXQL identity_activity, or its own xdr-xql-generic-query), IP prevalence and user risk. The conclusion ends with a verdict block, and the end of the run shows "XQL: n queries, x compute units, y left today". Record the cost: it is the first real measurement for this tenant.</t>
        </is>
      </c>
      <c r="G108" s="12" t="inlineStr">
        <is>
          <t>Yes</t>
        </is>
      </c>
      <c r="H108" s="12" t="n"/>
      <c r="I108" s="12" t="inlineStr">
        <is>
          <t>Not run</t>
        </is>
      </c>
      <c r="J108" s="12" t="n"/>
      <c r="K108" s="12" t="n"/>
      <c r="L108" s="13" t="n"/>
      <c r="M108" s="12" t="n"/>
    </row>
    <row r="109">
      <c r="A109" s="12" t="inlineStr">
        <is>
          <t>C6</t>
        </is>
      </c>
      <c r="B109" s="12" t="inlineStr">
        <is>
          <t>3 With model</t>
        </is>
      </c>
      <c r="C109" s="12" t="inlineStr">
        <is>
          <t>17 Cortex-native investigation</t>
        </is>
      </c>
      <c r="D109" s="12" t="inlineStr">
        <is>
          <t>Ready-made queries</t>
        </is>
      </c>
      <c r="E109" s="12" t="inlineStr">
        <is>
          <t>Run !GuardianXQL template=list, then !GuardianXQL template=identity_activity identity=&lt;a user or role name seen in the cloud audit log&gt; hours=6.</t>
        </is>
      </c>
      <c r="F109" s="12" t="inlineStr">
        <is>
          <t>The list shows four templates. The query returns rows with query_cost and remaining_quota. A value with a quote or pipe is refused with a message. A window longer than the template's usual maximum runs and adds a note.</t>
        </is>
      </c>
      <c r="G109" s="12" t="n"/>
      <c r="H109" s="12" t="n"/>
      <c r="I109" s="12" t="inlineStr">
        <is>
          <t>Not run</t>
        </is>
      </c>
      <c r="J109" s="12" t="n"/>
      <c r="K109" s="12" t="n"/>
      <c r="L109" s="13" t="n"/>
      <c r="M109" s="12" t="n"/>
    </row>
    <row r="110">
      <c r="A110" s="12" t="inlineStr">
        <is>
          <t>C7</t>
        </is>
      </c>
      <c r="B110" s="12" t="inlineStr">
        <is>
          <t>3 With model</t>
        </is>
      </c>
      <c r="C110" s="12" t="inlineStr">
        <is>
          <t>17 Cortex-native investigation</t>
        </is>
      </c>
      <c r="D110" s="12" t="inlineStr">
        <is>
          <t>Unused permissions template</t>
        </is>
      </c>
      <c r="E110" s="12" t="inlineStr">
        <is>
          <t>Run !GuardianXQL template=identity_unused_permissions identity=&lt;a role or compute name&gt;.</t>
        </is>
      </c>
      <c r="F110" s="12" t="inlineStr">
        <is>
          <t>Returns the identity's permissions with last-access information, or the platform's field error. This template's field name (source_cloud_resource_name) comes from the documentation and is unverified: record the exact error text if it fails.</t>
        </is>
      </c>
      <c r="G110" s="12" t="inlineStr">
        <is>
          <t>Yes</t>
        </is>
      </c>
      <c r="H110" s="12" t="inlineStr">
        <is>
          <t>Yes</t>
        </is>
      </c>
      <c r="I110" s="12" t="inlineStr">
        <is>
          <t>Not run</t>
        </is>
      </c>
      <c r="J110" s="12" t="n"/>
      <c r="K110" s="12" t="n"/>
      <c r="L110" s="13" t="n"/>
      <c r="M110" s="12" t="n"/>
    </row>
    <row r="111">
      <c r="A111" s="12" t="inlineStr">
        <is>
          <t>C8</t>
        </is>
      </c>
      <c r="B111" s="12" t="inlineStr">
        <is>
          <t>3 With model</t>
        </is>
      </c>
      <c r="C111" s="12" t="inlineStr">
        <is>
          <t>17 Cortex-native investigation</t>
        </is>
      </c>
      <c r="D111" s="12" t="inlineStr">
        <is>
          <t>A health issue</t>
        </is>
      </c>
      <c r="E111" s="12" t="inlineStr">
        <is>
          <t>Run GuardianInvestigateIssue on a Health-domain issue, if any exist.</t>
        </is>
      </c>
      <c r="F111" s="12" t="inlineStr">
        <is>
          <t>No model session. One short note says why. The playbook ends.</t>
        </is>
      </c>
      <c r="G111" s="12" t="n"/>
      <c r="H111" s="12" t="inlineStr">
        <is>
          <t>Yes</t>
        </is>
      </c>
      <c r="I111" s="12" t="inlineStr">
        <is>
          <t>Not run</t>
        </is>
      </c>
      <c r="J111" s="12" t="n"/>
      <c r="K111" s="12" t="n"/>
      <c r="L111" s="13" t="n"/>
      <c r="M111" s="12" t="n"/>
    </row>
    <row r="112">
      <c r="A112" s="12" t="inlineStr">
        <is>
          <t>C9</t>
        </is>
      </c>
      <c r="B112" s="12" t="inlineStr">
        <is>
          <t>3 With model</t>
        </is>
      </c>
      <c r="C112" s="12" t="inlineStr">
        <is>
          <t>17 Cortex-native investigation</t>
        </is>
      </c>
      <c r="D112" s="12" t="inlineStr">
        <is>
          <t>The outcome is remembered</t>
        </is>
      </c>
      <c r="E112" s="12" t="inlineStr">
        <is>
          <t>After C3, run !GuardianMemory op=search query=run:&lt;issue id&gt;.</t>
        </is>
      </c>
      <c r="F112" s="12" t="inlineStr">
        <is>
          <t>One row, key run:&lt;issue id&gt;, naming the family, rule id, asset ids, the assessment and priority, and the summary. No Job was needed. Run C3 on a second issue of the same rule: its Gather evidence step lists the first row under "memory".</t>
        </is>
      </c>
      <c r="G112" s="12" t="n"/>
      <c r="H112" s="12" t="n"/>
      <c r="I112" s="12" t="inlineStr">
        <is>
          <t>Not run</t>
        </is>
      </c>
      <c r="J112" s="12" t="n"/>
      <c r="K112" s="12" t="n"/>
      <c r="L112" s="13" t="n"/>
      <c r="M112" s="12" t="n"/>
    </row>
    <row r="113">
      <c r="A113" s="12" t="inlineStr">
        <is>
          <t>C10</t>
        </is>
      </c>
      <c r="B113" s="12" t="inlineStr">
        <is>
          <t>3 With model</t>
        </is>
      </c>
      <c r="C113" s="12" t="inlineStr">
        <is>
          <t>17 Cortex-native investigation</t>
        </is>
      </c>
      <c r="D113" s="12" t="inlineStr">
        <is>
          <t>Rule digest</t>
        </is>
      </c>
      <c r="E113" s="12" t="inlineStr">
        <is>
          <t>Set the playbook input mode to digest and run it on an issue of a rule that has many open issues; then run it on a second issue of the same rule.</t>
        </is>
      </c>
      <c r="F113" s="12" t="inlineStr">
        <is>
          <t>The first run's evidence packet has a rule_digest section (the open issues of the rule grouped by asset) and the model writes one ranked report for the rule. The second issue gets the note "a digest for its rule was already written today" and no model session.</t>
        </is>
      </c>
      <c r="G113" s="12" t="inlineStr">
        <is>
          <t>Yes</t>
        </is>
      </c>
      <c r="H113" s="12" t="inlineStr">
        <is>
          <t>Yes</t>
        </is>
      </c>
      <c r="I113" s="12" t="inlineStr">
        <is>
          <t>Not run</t>
        </is>
      </c>
      <c r="J113" s="12" t="n"/>
      <c r="K113" s="12" t="n"/>
      <c r="L113" s="13" t="n"/>
      <c r="M113" s="12" t="n"/>
    </row>
    <row r="114">
      <c r="A114" s="12" t="inlineStr">
        <is>
          <t>C11</t>
        </is>
      </c>
      <c r="B114" s="12" t="inlineStr">
        <is>
          <t>3 With model</t>
        </is>
      </c>
      <c r="C114" s="12" t="inlineStr">
        <is>
          <t>17 Cortex-native investigation</t>
        </is>
      </c>
      <c r="D114" s="12" t="inlineStr">
        <is>
          <t>What Guardian is missing</t>
        </is>
      </c>
      <c r="E114" s="12" t="inlineStr">
        <is>
          <t>Run !guardian-tools.</t>
        </is>
      </c>
      <c r="F114" s="12" t="inlineStr">
        <is>
          <t>A section "On this tenant but not allowlisted" lists the installed commands Guardian may not use, per brand, with read/write counts. Record whether the counts look right for your tenant.</t>
        </is>
      </c>
      <c r="G114" s="12" t="n"/>
      <c r="H114" s="12" t="n"/>
      <c r="I114" s="12" t="inlineStr">
        <is>
          <t>Not run</t>
        </is>
      </c>
      <c r="J114" s="12" t="n"/>
      <c r="K114" s="12" t="n"/>
      <c r="L114" s="13" t="n"/>
      <c r="M114" s="12" t="n"/>
    </row>
    <row r="115">
      <c r="A115" s="12" t="inlineStr">
        <is>
          <t>T1</t>
        </is>
      </c>
      <c r="B115" s="12" t="inlineStr">
        <is>
          <t>3 With model</t>
        </is>
      </c>
      <c r="C115" s="12" t="inlineStr">
        <is>
          <t>18 Deterministic triage</t>
        </is>
      </c>
      <c r="D115" s="12" t="inlineStr">
        <is>
          <t>Rate a posture issue</t>
        </is>
      </c>
      <c r="E115" s="12" t="inlineStr">
        <is>
          <t>On a fresh issue run !DeleteContext key=Guardian, then !setPlaybook name=GuardianTriageIssue. Wait for it to finish (a few minutes). Then run !getContext key=Guardian.Triage and !guardian-cost.</t>
        </is>
      </c>
      <c r="F115" s="12" t="inlineStr">
        <is>
          <t>Guardian.Triage shows status "structured", a type from the guardian_triage_types list (for a posture finding: misconfiguration, vulnerability, code_risk, excessive_privilege, attack_path or other), a severity, a confidence from 0 to 100, escalate true or false, a summary and a branch. The sub-playbook named after the type ran. The triage session took at most 6 turns. The issue now has the phase "Guardian triage: &lt;type&gt;"; its status, type and description are unchanged. A case note was added. Nothing is waiting for approval. The run cost is a few cents.</t>
        </is>
      </c>
      <c r="G115" s="12" t="inlineStr">
        <is>
          <t>Yes</t>
        </is>
      </c>
      <c r="H115" s="12" t="n"/>
      <c r="I115" s="12" t="inlineStr">
        <is>
          <t>Not run</t>
        </is>
      </c>
      <c r="J115" s="12" t="n"/>
      <c r="K115" s="12" t="n"/>
      <c r="L115" s="13" t="n"/>
      <c r="M115" s="12" t="n"/>
    </row>
    <row r="116">
      <c r="A116" s="12" t="inlineStr">
        <is>
          <t>T2</t>
        </is>
      </c>
      <c r="B116" s="12" t="inlineStr">
        <is>
          <t>3 With model</t>
        </is>
      </c>
      <c r="C116" s="12" t="inlineStr">
        <is>
          <t>18 Deterministic triage</t>
        </is>
      </c>
      <c r="D116" s="12" t="inlineStr">
        <is>
          <t>Dry run writes only a note</t>
        </is>
      </c>
      <c r="E116" s="12" t="inlineStr">
        <is>
          <t>On another fresh issue run !DeleteContext key=Guardian, then !setPlaybook name=GuardianTriageIssue with the playbook input apply_changes set to false. Read the issue afterwards.</t>
        </is>
      </c>
      <c r="F116" s="12" t="inlineStr">
        <is>
          <t>The case note says what would have changed. The issue's severity and phase are unchanged. Guardian.Triage is still filled in.</t>
        </is>
      </c>
      <c r="G116" s="12" t="inlineStr">
        <is>
          <t>Yes</t>
        </is>
      </c>
      <c r="H116" s="12" t="inlineStr">
        <is>
          <t>Yes</t>
        </is>
      </c>
      <c r="I116" s="12" t="inlineStr">
        <is>
          <t>Not run</t>
        </is>
      </c>
      <c r="J116" s="12" t="n"/>
      <c r="K116" s="12" t="n"/>
      <c r="L116" s="13" t="n"/>
      <c r="M116" s="12" t="n"/>
    </row>
    <row r="117">
      <c r="A117" s="12" t="inlineStr">
        <is>
          <t>T3</t>
        </is>
      </c>
      <c r="B117" s="12" t="inlineStr">
        <is>
          <t>3 With model</t>
        </is>
      </c>
      <c r="C117" s="12" t="inlineStr">
        <is>
          <t>18 Deterministic triage</t>
        </is>
      </c>
      <c r="D117" s="12" t="inlineStr">
        <is>
          <t>Type lookups run, or are skipped quietly</t>
        </is>
      </c>
      <c r="E117" s="12" t="inlineStr">
        <is>
          <t>Open the playbook run of T1 and read its tasks. Run !getContext key=Guardian.Evidence.</t>
        </is>
      </c>
      <c r="F117" s="12" t="inlineStr">
        <is>
          <t>The sub-playbook ran its lookups first. A lookup whose input is empty is skipped and is not shown as a failure. The results were added to the evidence packet. A posture issue has no event time, so its XQL looks back 72 hours instead of being anchored to a time. A detection issue's XQL is anchored to the detection time.</t>
        </is>
      </c>
      <c r="G117" s="12" t="n"/>
      <c r="H117" s="12" t="n"/>
      <c r="I117" s="12" t="inlineStr">
        <is>
          <t>Not run</t>
        </is>
      </c>
      <c r="J117" s="12" t="n"/>
      <c r="K117" s="12" t="n"/>
      <c r="L117" s="13" t="n"/>
      <c r="M117" s="12" t="n"/>
    </row>
    <row r="118">
      <c r="A118" s="12" t="inlineStr">
        <is>
          <t>T4</t>
        </is>
      </c>
      <c r="B118" s="12" t="inlineStr">
        <is>
          <t>3 With model</t>
        </is>
      </c>
      <c r="C118" s="12" t="inlineStr">
        <is>
          <t>18 Deterministic triage</t>
        </is>
      </c>
      <c r="D118" s="12" t="inlineStr">
        <is>
          <t>Only a clean result may change severity</t>
        </is>
      </c>
      <c r="E118" s="12" t="inlineStr">
        <is>
          <t>Read Guardian.Triage.status on every run of this section. If a run shows "repaired" or "fallback", check the issue's severity afterwards.</t>
        </is>
      </c>
      <c r="F118" s="12" t="inlineStr">
        <is>
          <t>Severity is changed only when status is "structured". A repaired or fallback result writes the phase at most and never changes severity. Record any run that is not structured, with the reason in Guardian.Triage.</t>
        </is>
      </c>
      <c r="G118" s="12" t="n"/>
      <c r="H118" s="12" t="n"/>
      <c r="I118" s="12" t="inlineStr">
        <is>
          <t>Not run</t>
        </is>
      </c>
      <c r="J118" s="12" t="n"/>
      <c r="K118" s="12" t="n"/>
      <c r="L118" s="13" t="n"/>
      <c r="M118" s="12" t="n"/>
    </row>
    <row r="119">
      <c r="A119" s="12" t="inlineStr">
        <is>
          <t>T5</t>
        </is>
      </c>
      <c r="B119" s="12" t="inlineStr">
        <is>
          <t>3 With model</t>
        </is>
      </c>
      <c r="C119" s="12" t="inlineStr">
        <is>
          <t>18 Deterministic triage</t>
        </is>
      </c>
      <c r="D119" s="12" t="inlineStr">
        <is>
          <t>Escalate means compromise only</t>
        </is>
      </c>
      <c r="E119" s="12" t="inlineStr">
        <is>
          <t>Triage an issue that is a configuration or hardening finding, with no sign of misuse (for example a storage account without a customer-managed key).</t>
        </is>
      </c>
      <c r="F119" s="12" t="inlineStr">
        <is>
          <t>Guardian.Triage.escalate is false. A finding that is only a risk, or an attempt that was blocked or failed with no sign it worked, does not escalate on its own.</t>
        </is>
      </c>
      <c r="G119" s="12" t="inlineStr">
        <is>
          <t>Yes</t>
        </is>
      </c>
      <c r="H119" s="12" t="n"/>
      <c r="I119" s="12" t="inlineStr">
        <is>
          <t>Not run</t>
        </is>
      </c>
      <c r="J119" s="12" t="n"/>
      <c r="K119" s="12" t="n"/>
      <c r="L119" s="13" t="n"/>
      <c r="M119" s="12" t="n"/>
    </row>
    <row r="120">
      <c r="A120" s="12" t="inlineStr">
        <is>
          <t>T6</t>
        </is>
      </c>
      <c r="B120" s="12" t="inlineStr">
        <is>
          <t>3 With model</t>
        </is>
      </c>
      <c r="C120" s="12" t="inlineStr">
        <is>
          <t>18 Deterministic triage</t>
        </is>
      </c>
      <c r="D120" s="12" t="inlineStr">
        <is>
          <t>A triaged issue is not written again</t>
        </is>
      </c>
      <c r="E120" s="12" t="inlineStr">
        <is>
          <t>Run !DeleteContext key=Guardian and !setPlaybook name=GuardianTriageIssue again on the issue from T1.</t>
        </is>
      </c>
      <c r="F120" s="12" t="inlineStr">
        <is>
          <t>The model session and the sub-playbook run again and add a case note. GuardianTriageApply reports that it skipped: the phase already starts with "Guardian triage:". Severity and phase are not written a second time. Guardian cannot clear a phase on Cortex Cloud (core-update-issue ignores an empty value), so an issue triaged once is never written again. An issue with an owner, or one that is resolved, is skipped the same way.</t>
        </is>
      </c>
      <c r="G120" s="12" t="inlineStr">
        <is>
          <t>Yes</t>
        </is>
      </c>
      <c r="H120" s="12" t="n"/>
      <c r="I120" s="12" t="inlineStr">
        <is>
          <t>Not run</t>
        </is>
      </c>
      <c r="J120" s="12" t="n"/>
      <c r="K120" s="12" t="n"/>
      <c r="L120" s="13" t="n"/>
      <c r="M120" s="12" t="n"/>
    </row>
    <row r="121">
      <c r="A121" s="12" t="inlineStr">
        <is>
          <t>T7</t>
        </is>
      </c>
      <c r="B121" s="12" t="inlineStr">
        <is>
          <t>3 With model</t>
        </is>
      </c>
      <c r="C121" s="12" t="inlineStr">
        <is>
          <t>18 Deterministic triage</t>
        </is>
      </c>
      <c r="D121" s="12" t="inlineStr">
        <is>
          <t>Case note length and resource ids</t>
        </is>
      </c>
      <c r="E121" s="12" t="inlineStr">
        <is>
          <t>Open the case note of each run in this section.</t>
        </is>
      </c>
      <c r="F121" s="12" t="inlineStr">
        <is>
          <t>Each note is under 4000 characters and was accepted without a rejection in the War Room. A cloud resource is written with its full id and is not shortened with "...".</t>
        </is>
      </c>
      <c r="G121" s="12" t="n"/>
      <c r="H121" s="12" t="n"/>
      <c r="I121" s="12" t="inlineStr">
        <is>
          <t>Not run</t>
        </is>
      </c>
      <c r="J121" s="12" t="n"/>
      <c r="K121" s="12" t="n"/>
      <c r="L121" s="13" t="n"/>
      <c r="M121" s="12" t="n"/>
    </row>
    <row r="122">
      <c r="A122" s="12" t="inlineStr">
        <is>
          <t>T8</t>
        </is>
      </c>
      <c r="B122" s="12" t="inlineStr">
        <is>
          <t>3 With model</t>
        </is>
      </c>
      <c r="C122" s="12" t="inlineStr">
        <is>
          <t>18 Deterministic triage</t>
        </is>
      </c>
      <c r="D122" s="12" t="inlineStr">
        <is>
          <t>Severity can be lowered</t>
        </is>
      </c>
      <c r="E122" s="12" t="inlineStr">
        <is>
          <t>Only when you have an issue that Guardian is likely to rate below its platform severity, for example a hardening gap with no exposure. Triage it.</t>
        </is>
      </c>
      <c r="F122" s="12" t="inlineStr">
        <is>
          <t>Severity is lowered only when the result is structured, confidence is 80 or more and escalate is false. The case note shows the before and after values and why. If no issue gets a lower rating, mark this test Skipped.</t>
        </is>
      </c>
      <c r="G122" s="12" t="inlineStr">
        <is>
          <t>Yes</t>
        </is>
      </c>
      <c r="H122" s="12" t="inlineStr">
        <is>
          <t>Yes</t>
        </is>
      </c>
      <c r="I122" s="12" t="inlineStr">
        <is>
          <t>Not run</t>
        </is>
      </c>
      <c r="J122" s="12" t="n"/>
      <c r="K122" s="12" t="n"/>
      <c r="L122" s="13" t="n"/>
      <c r="M122" s="12" t="n"/>
    </row>
  </sheetData>
  <autoFilter ref="A1:M122"/>
  <conditionalFormatting sqref="I2:I200">
    <cfRule type="cellIs" priority="1" operator="equal" dxfId="0">
      <formula>"Pass"</formula>
    </cfRule>
    <cfRule type="cellIs" priority="3" operator="equal" dxfId="1">
      <formula>"Fail"</formula>
    </cfRule>
    <cfRule type="cellIs" priority="5" operator="equal" dxfId="2">
      <formula>"Blocked"</formula>
    </cfRule>
    <cfRule type="cellIs" priority="7" operator="equal" dxfId="3">
      <formula>"Skipped"</formula>
    </cfRule>
    <cfRule type="cellIs" priority="9" operator="equal" dxfId="3">
      <formula>"N/A"</formula>
    </cfRule>
  </conditionalFormatting>
  <conditionalFormatting sqref="A2:A200">
    <cfRule type="expression" priority="2" dxfId="0">
      <formula>$I2="Pass"</formula>
    </cfRule>
    <cfRule type="expression" priority="4" dxfId="1">
      <formula>$I2="Fail"</formula>
    </cfRule>
    <cfRule type="expression" priority="6" dxfId="2">
      <formula>$I2="Blocked"</formula>
    </cfRule>
    <cfRule type="expression" priority="8" dxfId="3">
      <formula>$I2="Skipped"</formula>
    </cfRule>
    <cfRule type="expression" priority="10" dxfId="3">
      <formula>$I2="N/A"</formula>
    </cfRule>
  </conditionalFormatting>
  <dataValidations count="1">
    <dataValidation sqref="I2:I200" showDropDown="0" showInputMessage="0" showErrorMessage="1" allowBlank="0" errorTitle="Status" error="Pick one of: Not run, Pass, Fail, Blocked, Skipped, N/A" type="list">
      <formula1>"Not run,Pass,Fail,Blocked,Skipped,N/A"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tabSelected="0" workbookViewId="0">
      <selection activeCell="A1" sqref="A1"/>
    </sheetView>
  </sheetViews>
  <sheetFormatPr baseColWidth="8" defaultRowHeight="15"/>
  <cols>
    <col width="34" customWidth="1" min="1" max="1"/>
    <col width="110" customWidth="1" min="2" max="2"/>
    <col width="44" customWidth="1" min="3" max="3"/>
    <col width="14" customWidth="1" min="4" max="4"/>
  </cols>
  <sheetData>
    <row r="1">
      <c r="A1" s="14" t="inlineStr">
        <is>
          <t>Overview</t>
        </is>
      </c>
      <c r="B1" s="15" t="n"/>
      <c r="C1" s="15" t="n"/>
      <c r="D1" s="15" t="n"/>
    </row>
    <row r="2">
      <c r="A2" s="16" t="inlineStr">
        <is>
          <t>Plan</t>
        </is>
      </c>
      <c r="B2" s="12" t="inlineStr">
        <is>
          <t>Testing a new Guardian deployment on a Cortex platform tenant</t>
        </is>
      </c>
    </row>
    <row r="3">
      <c r="A3" s="16" t="inlineStr">
        <is>
          <t>What this plan is</t>
        </is>
      </c>
      <c r="B3" s="12" t="inlineStr">
        <is>
          <t>A manual test plan for the first session after Guardian content is installed on a new tenant. Everything here is done by hand in the console. No script or API calls are needed.</t>
        </is>
      </c>
    </row>
    <row r="4">
      <c r="A4" s="16" t="inlineStr">
        <is>
          <t>Tenant profile</t>
        </is>
      </c>
      <c r="B4" s="12" t="inlineStr">
        <is>
          <t>This plan is written for a Cortex platform tenant where Jobs cannot be created or run and layouts cannot be customised or attached (for example, Cortex Cloud). Such a tenant has no Guardian tab, no buttons and no scheduled runs. Every one of those features has a text command that does the same work, and this plan uses those commands. A tenant that does have Jobs and layouts runs this whole plan and then the extra checks on the Jobs and layouts tab.</t>
        </is>
      </c>
    </row>
    <row r="5">
      <c r="A5" s="16" t="inlineStr">
        <is>
          <t>Three parts</t>
        </is>
      </c>
      <c r="B5" s="12" t="n"/>
    </row>
    <row r="6">
      <c r="A6" s="11" t="inlineStr">
        <is>
          <t>Part</t>
        </is>
      </c>
      <c r="B6" s="11" t="inlineStr">
        <is>
          <t>What it covers</t>
        </is>
      </c>
      <c r="C6" s="11" t="inlineStr">
        <is>
          <t>Needs a model</t>
        </is>
      </c>
      <c r="D6" s="11" t="inlineStr">
        <is>
          <t>Billed</t>
        </is>
      </c>
    </row>
    <row r="7">
      <c r="A7" s="12" t="inlineStr">
        <is>
          <t>1. Without a model</t>
        </is>
      </c>
      <c r="B7" s="12" t="inlineStr">
        <is>
          <t>The installed content, the lists, the safeguards, approvals, kill switch, memory and skills, and the upkeep that Jobs run on other tenants</t>
        </is>
      </c>
      <c r="C7" s="12" t="inlineStr">
        <is>
          <t>No</t>
        </is>
      </c>
      <c r="D7" s="12" t="inlineStr">
        <is>
          <t>No</t>
        </is>
      </c>
    </row>
    <row r="8">
      <c r="A8" s="12" t="inlineStr">
        <is>
          <t>2. Connect the model</t>
        </is>
      </c>
      <c r="B8" s="12" t="inlineStr">
        <is>
          <t>The provider instance, its credential, and sizing the model</t>
        </is>
      </c>
      <c r="C8" s="12" t="inlineStr">
        <is>
          <t>Yes</t>
        </is>
      </c>
      <c r="D8" s="12" t="inlineStr">
        <is>
          <t>A few small calls</t>
        </is>
      </c>
    </row>
    <row r="9">
      <c r="A9" s="12" t="inlineStr">
        <is>
          <t>3. With the model</t>
        </is>
      </c>
      <c r="B9" s="12" t="inlineStr">
        <is>
          <t>Investigations, the conclusion gate, playbook drafting, and upkeep with real run data</t>
        </is>
      </c>
      <c r="C9" s="12" t="inlineStr">
        <is>
          <t>Yes</t>
        </is>
      </c>
      <c r="D9" s="12" t="inlineStr">
        <is>
          <t>Yes</t>
        </is>
      </c>
    </row>
    <row r="10">
      <c r="A10" s="16" t="inlineStr">
        <is>
          <t>Where to start</t>
        </is>
      </c>
      <c r="B10" s="12" t="inlineStr">
        <is>
          <t>Part 1 can run before the model provider account exists. Finish it first: a failure in Part 1 is an install or content problem, and it is easier to find before a model is involved.</t>
        </is>
      </c>
    </row>
    <row r="11">
      <c r="A11" s="16" t="inlineStr">
        <is>
          <t>Before you start</t>
        </is>
      </c>
      <c r="B11" s="12" t="inlineStr">
        <is>
          <t>Before you start, read the install guide (docs/cortex-platform/README.md); the model setup page (docs/MODEL_SETUP.md) is needed from Part 2.</t>
        </is>
      </c>
    </row>
    <row r="13">
      <c r="A13" s="14" t="inlineStr">
        <is>
          <t>How to run this plan</t>
        </is>
      </c>
      <c r="B13" s="15" t="n"/>
      <c r="C13" s="15" t="n"/>
      <c r="D13" s="15" t="n"/>
    </row>
    <row r="14">
      <c r="A14" s="16" t="inlineStr">
        <is>
          <t>Where to type</t>
        </is>
      </c>
      <c r="B14" s="12" t="inlineStr">
        <is>
          <t>Where to type. Type commands in an issue's War Room. Pick one quiet, low-severity issue as your workbench issue for the stand-alone commands. Use separate issues for the investigations (section 11).</t>
        </is>
      </c>
    </row>
    <row r="15">
      <c r="A15" s="16" t="inlineStr">
        <is>
          <t>One thing at a time</t>
        </is>
      </c>
      <c r="B15" s="12" t="inlineStr">
        <is>
          <t>One thing at a time. Run one command, wait for its result, then run the next. Never run two Guardian investigations at the same time. Do not type in an issue while its investigation is running, except to answer the agent.</t>
        </is>
      </c>
    </row>
    <row r="16">
      <c r="A16" s="16" t="inlineStr">
        <is>
          <t>Billed steps</t>
        </is>
      </c>
      <c r="B16" s="12" t="inlineStr">
        <is>
          <t>Billed steps are marked (billed): they call the model and cost money. There are none in Part 1. !guardian-cost shows the running total at any time.</t>
        </is>
      </c>
    </row>
    <row r="17">
      <c r="A17" s="16" t="inlineStr">
        <is>
          <t>Before every re-run</t>
        </is>
      </c>
      <c r="B17" s="12" t="inlineStr">
        <is>
          <t>Before every re-run of an investigation on the same issue, run !DeleteContext key=Guardian first.</t>
        </is>
      </c>
    </row>
    <row r="18">
      <c r="A18" s="16" t="inlineStr">
        <is>
          <t>Recording</t>
        </is>
      </c>
      <c r="B18" s="12" t="inlineStr">
        <is>
          <t>Recording. Each test has an ID. Set its Status on the Tests tab (Pass, Fail, Blocked, Skipped or N/A) and put the evidence in Evidence: a screenshot name, or the War Room entry. A result that differs from the expected one is a finding: capture it anyway and write down what happened.</t>
        </is>
      </c>
    </row>
    <row r="19">
      <c r="A19" s="16" t="inlineStr">
        <is>
          <t>Time</t>
        </is>
      </c>
      <c r="B19" s="12" t="inlineStr">
        <is>
          <t>Time. Part 1 takes about an hour. Parts 2 and 3 take most of half a day, mostly waiting for investigations, which take a few minutes each.</t>
        </is>
      </c>
    </row>
    <row r="21">
      <c r="A21" s="14" t="inlineStr">
        <is>
          <t>What this profile can and cannot test</t>
        </is>
      </c>
      <c r="B21" s="15" t="n"/>
      <c r="C21" s="15" t="n"/>
      <c r="D21" s="15" t="n"/>
    </row>
    <row r="22">
      <c r="A22" s="11" t="inlineStr">
        <is>
          <t>Feature</t>
        </is>
      </c>
      <c r="B22" s="11" t="inlineStr">
        <is>
          <t>On this tenant</t>
        </is>
      </c>
      <c r="C22" s="11" t="inlineStr">
        <is>
          <t>How this plan covers it</t>
        </is>
      </c>
    </row>
    <row r="23">
      <c r="A23" s="12" t="inlineStr">
        <is>
          <t>Installed content and control lists</t>
        </is>
      </c>
      <c r="B23" s="12" t="inlineStr">
        <is>
          <t>Yes</t>
        </is>
      </c>
      <c r="C23" s="12" t="inlineStr">
        <is>
          <t>Sections 1 and 2</t>
        </is>
      </c>
    </row>
    <row r="24">
      <c r="A24" s="12" t="inlineStr">
        <is>
          <t>Safeguards, approvals, kill switch</t>
        </is>
      </c>
      <c r="B24" s="12" t="inlineStr">
        <is>
          <t>Yes, with commands instead of buttons</t>
        </is>
      </c>
      <c r="C24" s="12" t="inlineStr">
        <is>
          <t>Sections 4, 5, 6</t>
        </is>
      </c>
    </row>
    <row r="25">
      <c r="A25" s="12" t="inlineStr">
        <is>
          <t>Memory, skills, knowledge base</t>
        </is>
      </c>
      <c r="B25" s="12" t="inlineStr">
        <is>
          <t>Yes</t>
        </is>
      </c>
      <c r="C25" s="12" t="inlineStr">
        <is>
          <t>Section 7, then section 15 with run data</t>
        </is>
      </c>
    </row>
    <row r="26">
      <c r="A26" s="12" t="inlineStr">
        <is>
          <t>Upkeep that Jobs run elsewhere (housekeeping, case capture, evaluation harvest)</t>
        </is>
      </c>
      <c r="B26" s="12" t="inlineStr">
        <is>
          <t>No Jobs: run each by hand</t>
        </is>
      </c>
      <c r="C26" s="12" t="inlineStr">
        <is>
          <t>Section 8, then section 15</t>
        </is>
      </c>
    </row>
    <row r="27">
      <c r="A27" s="12" t="inlineStr">
        <is>
          <t>Model provider (Foundry, Vertex, Cohere)</t>
        </is>
      </c>
      <c r="B27" s="12" t="inlineStr">
        <is>
          <t>Yes</t>
        </is>
      </c>
      <c r="C27" s="12" t="inlineStr">
        <is>
          <t>Section 10</t>
        </is>
      </c>
    </row>
    <row r="28">
      <c r="A28" s="12" t="inlineStr">
        <is>
          <t>Sizing the model (the model-adaptation Job)</t>
        </is>
      </c>
      <c r="B28" s="12" t="inlineStr">
        <is>
          <t>A model in the model catalogue: its documented limits, saved by the first task of a run; no Job needed. Other models: no Job, run by hand.</t>
        </is>
      </c>
      <c r="C28" s="12" t="inlineStr">
        <is>
          <t>L9, M14, M7</t>
        </is>
      </c>
    </row>
    <row r="29">
      <c r="A29" s="12" t="inlineStr">
        <is>
          <t>Investigating one issue</t>
        </is>
      </c>
      <c r="B29" s="12" t="inlineStr">
        <is>
          <t>Yes, started by hand</t>
        </is>
      </c>
      <c r="C29" s="12" t="inlineStr">
        <is>
          <t>Section 11</t>
        </is>
      </c>
    </row>
    <row r="30">
      <c r="A30" s="12" t="inlineStr">
        <is>
          <t>Conclusion-quality gate</t>
        </is>
      </c>
      <c r="B30" s="12" t="inlineStr">
        <is>
          <t>Yes</t>
        </is>
      </c>
      <c r="C30" s="12" t="inlineStr">
        <is>
          <t>Section 12</t>
        </is>
      </c>
    </row>
    <row r="31">
      <c r="A31" s="12" t="inlineStr">
        <is>
          <t>Playbook drafting (content engineering)</t>
        </is>
      </c>
      <c r="B31" s="12" t="inlineStr">
        <is>
          <t>Yes</t>
        </is>
      </c>
      <c r="C31" s="12" t="inlineStr">
        <is>
          <t>Section 13</t>
        </is>
      </c>
    </row>
    <row r="32">
      <c r="A32" s="12" t="inlineStr">
        <is>
          <t>Scheduled queue triage (GuardianIntakeSweep Job)</t>
        </is>
      </c>
      <c r="B32" s="12" t="inlineStr">
        <is>
          <t>No Job: optional run by hand</t>
        </is>
      </c>
      <c r="C32" s="12" t="inlineStr">
        <is>
          <t>U5</t>
        </is>
      </c>
    </row>
    <row r="33">
      <c r="A33" s="12" t="inlineStr">
        <is>
          <t>Guardian tab and its buttons on an issue</t>
        </is>
      </c>
      <c r="B33" s="12" t="inlineStr">
        <is>
          <t>No</t>
        </is>
      </c>
      <c r="C33" s="12" t="inlineStr">
        <is>
          <t>The !GuardianLayout* and !guardian-* commands</t>
        </is>
      </c>
    </row>
    <row r="34">
      <c r="A34" s="12" t="inlineStr">
        <is>
          <t>SOC Agent indicator page and its buttons (including Apply Policy)</t>
        </is>
      </c>
      <c r="B34" s="12" t="inlineStr">
        <is>
          <t>No</t>
        </is>
      </c>
      <c r="C34" s="12" t="inlineStr">
        <is>
          <t>Not tested; Apply Policy has no command equivalent</t>
        </is>
      </c>
    </row>
    <row r="35">
      <c r="A35" s="12" t="inlineStr">
        <is>
          <t>Starting automatically when an issue arrives</t>
        </is>
      </c>
      <c r="B35" s="12" t="inlineStr">
        <is>
          <t>No (issue types do not start playbooks on the Cortex platform)</t>
        </is>
      </c>
      <c r="C35" s="12" t="inlineStr">
        <is>
          <t>Not tested; every run is started by hand</t>
        </is>
      </c>
    </row>
    <row r="36">
      <c r="A36" s="12" t="inlineStr">
        <is>
          <t>Custom issue fields (verdict fields on the issue, bypass mode, case capture, evaluation, Performance dashboard)</t>
        </is>
      </c>
      <c r="B36" s="12" t="inlineStr">
        <is>
          <t>Cortex XSIAM: yes. Cortex Cloud: check with P10</t>
        </is>
      </c>
      <c r="C36" s="12" t="inlineStr">
        <is>
          <t>P10; the tests that need them are marked "Needs custom issue fields"</t>
        </is>
      </c>
    </row>
    <row r="37">
      <c r="A37" s="12" t="inlineStr">
        <is>
          <t>Guardian Performance dashboard</t>
        </is>
      </c>
      <c r="B37" s="12" t="inlineStr">
        <is>
          <t>Only if the tenant can import dashboards</t>
        </is>
      </c>
      <c r="C37" s="12" t="inlineStr">
        <is>
          <t>Optional, X3; the !GuardianWidget* commands stand in for it</t>
        </is>
      </c>
    </row>
    <row r="39">
      <c r="A39" s="14" t="inlineStr">
        <is>
          <t>Section notes</t>
        </is>
      </c>
      <c r="B39" s="15" t="n"/>
      <c r="C39" s="15" t="n"/>
      <c r="D39" s="15" t="n"/>
    </row>
    <row r="40">
      <c r="A40" s="16" t="inlineStr">
        <is>
          <t>Section 0 Before the session</t>
        </is>
      </c>
      <c r="B40" s="12" t="inlineStr">
        <is>
          <t>For Part 1: rows B1 to B4. For Part 2 (prepare these while Part 1 runs): rows B5 to B7.</t>
        </is>
      </c>
    </row>
    <row r="41">
      <c r="A41" s="16" t="inlineStr">
        <is>
          <t>Part 1: without a model</t>
        </is>
      </c>
      <c r="B41" s="12" t="inlineStr">
        <is>
          <t>Nothing in this part calls a model. Do not create the model provider instance yet: P8 checks the starting point without one.</t>
        </is>
      </c>
    </row>
    <row r="42">
      <c r="A42" s="16" t="inlineStr">
        <is>
          <t>Section 2 Control lists</t>
        </is>
      </c>
      <c r="B42" s="12" t="inlineStr">
        <is>
          <t>These lists set what the agent may do. Read them and change nothing. Use !getList listName=&lt;name&gt; for each.</t>
        </is>
      </c>
    </row>
    <row r="43">
      <c r="A43" s="16" t="inlineStr">
        <is>
          <t>Section 4 Safeguards</t>
        </is>
      </c>
      <c r="B43" s="12" t="inlineStr">
        <is>
          <t>Every action the agent takes passes through GuardianToolBridge. These tests call it by hand, in the workbench issue's War Room.</t>
        </is>
      </c>
    </row>
    <row r="44">
      <c r="A44" s="16" t="inlineStr">
        <is>
          <t>Section 5 Human approval</t>
        </is>
      </c>
      <c r="B44" s="12" t="inlineStr">
        <is>
          <t>GuardianContainmentSimulate is the pack's safe stand-in for "isolate endpoint": it changes nothing and only writes a note. It passes through the same gate as real containment. Work in the workbench issue's War Room, and put the approval id that the hold step prints in place of &lt;ID&gt;.</t>
        </is>
      </c>
    </row>
    <row r="45">
      <c r="A45" s="16" t="inlineStr">
        <is>
          <t>Section 5 Human approval (note)</t>
        </is>
      </c>
      <c r="B45" s="12" t="inlineStr">
        <is>
          <t>Credential-tier actions need confirm=CONFIRM (exact, case-sensitive) on !guardian-approve. Pending approvals expire after 60 minutes, but only when Housekeeping runs (U1).</t>
        </is>
      </c>
    </row>
    <row r="46">
      <c r="A46" s="16" t="inlineStr">
        <is>
          <t>Section 6 Kill switch</t>
        </is>
      </c>
      <c r="B46" s="12" t="inlineStr">
        <is>
          <t>Change the switch only with !guardian-killswitch. Never use setList: the list is protected.</t>
        </is>
      </c>
    </row>
    <row r="47">
      <c r="A47" s="16" t="inlineStr">
        <is>
          <t>Section 8 Upkeep without Jobs</t>
        </is>
      </c>
      <c r="B47" s="12" t="inlineStr">
        <is>
          <t>On a tenant with Jobs, six Jobs run Guardian's upkeep on a schedule. Here someone runs them by hand: at the end of each test session, and regularly once Guardian is in use.</t>
        </is>
      </c>
    </row>
    <row r="48">
      <c r="A48" s="16" t="inlineStr">
        <is>
          <t>Section 8 Upkeep without Jobs (note)</t>
        </is>
      </c>
      <c r="B48" s="12" t="inlineStr">
        <is>
          <t>Each Job runs one playbook. The four upkeep playbooks run one script and then close the issue they run on, because a Job opens a new issue for every run. So there are two ways to run one by hand:
- The script in any War Room. This is the simpler way for routine use, and nothing is closed.
- The playbook on a spare issue with !setPlaybook name=&lt;playbook&gt;. It does exactly what a Job run does, and closes that issue at the end.</t>
        </is>
      </c>
    </row>
    <row r="49">
      <c r="A49" s="16" t="inlineStr">
        <is>
          <t>End of Part 1</t>
        </is>
      </c>
      <c r="B49" s="12" t="inlineStr">
        <is>
          <t>End of Part 1. Part 1 passes when sections 1 to 8 pass. Nothing has called a model and !guardian-cost is still zero. Fix any failure here before Part 2: see the Troubleshooting tab.</t>
        </is>
      </c>
    </row>
    <row r="50">
      <c r="A50" s="16" t="inlineStr">
        <is>
          <t>Section 10 Model provider</t>
        </is>
      </c>
      <c r="B50" s="12" t="inlineStr">
        <is>
          <t>Enable exactly one Guardian provider instance at a time. Guardian sends every model call to whichever enabled instance answers guardian-llm-chat. After the instance works, M14 saves the documented limits of a model in the model catalogue and M15 sets the model size. For such a model the probe (M7) is optional.</t>
        </is>
      </c>
    </row>
    <row r="51">
      <c r="A51" s="16" t="inlineStr">
        <is>
          <t>Section 10 Model provider: Certificate error cases (optional)</t>
        </is>
      </c>
      <c r="B51" s="12" t="inlineStr">
        <is>
          <t>Certificate error cases (optional). Use a second Foundry instance and press Test without enabling it. Restore or delete it afterwards.</t>
        </is>
      </c>
    </row>
    <row r="52">
      <c r="A52" s="16" t="inlineStr">
        <is>
          <t>Section 10 Model provider: Other providers (optional)</t>
        </is>
      </c>
      <c r="B52" s="12" t="inlineStr">
        <is>
          <t>Other providers (optional). Repeat M1 to M8, M14 and M15 for Guardian Vertex or Guardian Cohere, with the Foundry instance disabled. Guardian Cohere needs an engine.</t>
        </is>
      </c>
    </row>
    <row r="53">
      <c r="A53" s="16" t="inlineStr">
        <is>
          <t>Section 11 Investigating an issue</t>
        </is>
      </c>
      <c r="B53" s="12" t="inlineStr">
        <is>
          <t>Leave the issue's approval mode unset (manual) so that any action the agent proposes waits for a person. Run the investigations one after another, never at the same time.</t>
        </is>
      </c>
    </row>
    <row r="54">
      <c r="A54" s="16" t="inlineStr">
        <is>
          <t>Section 12 Conclusion-quality gate</t>
        </is>
      </c>
      <c r="B54" s="12" t="inlineStr">
        <is>
          <t>The gate checks every finished run. Review it on the runs from section 11. Nothing extra is billed.</t>
        </is>
      </c>
    </row>
    <row r="55">
      <c r="A55" s="16" t="inlineStr">
        <is>
          <t>Section 12 Conclusion-quality gate (note)</t>
        </is>
      </c>
      <c r="B55" s="12" t="inlineStr">
        <is>
          <t>Suspicious and Inconclusive verdicts are not gated.</t>
        </is>
      </c>
    </row>
    <row r="56">
      <c r="A56" s="16" t="inlineStr">
        <is>
          <t>Section 13 Drafting a playbook</t>
        </is>
      </c>
      <c r="B56" s="12" t="inlineStr">
        <is>
          <t>Guardian drafts playbooks for a person to review. It never imports or attaches one itself.</t>
        </is>
      </c>
    </row>
    <row r="57">
      <c r="A57" s="16" t="inlineStr">
        <is>
          <t>Section 15 Upkeep after the runs</t>
        </is>
      </c>
      <c r="B57" s="12" t="inlineStr">
        <is>
          <t>The same upkeep as section 8, now with real run data.</t>
        </is>
      </c>
    </row>
    <row r="58">
      <c r="A58" s="16" t="inlineStr">
        <is>
          <t>Section 18 Deterministic triage</t>
        </is>
      </c>
      <c r="B58" s="12" t="inlineStr">
        <is>
          <t>Use a fresh issue for each run: high severity, domain Posture, no owner, empty phase. Leave the approval mode unset (manual) and approve nothing. Run them one after another. Triage rates an issue with a short model session, checks the answer against fixed values, and then fixed rules set the severity and phase and choose a sub-playbook by type. The model cannot write the issue; only GuardianTriageApply can, and only within its guards.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tabSelected="0" workbookViewId="0">
      <selection activeCell="A1" sqref="A1"/>
    </sheetView>
  </sheetViews>
  <sheetFormatPr baseColWidth="8" defaultRowHeight="15"/>
  <cols>
    <col width="26" customWidth="1" min="1" max="1"/>
    <col width="26" customWidth="1" min="2" max="2"/>
    <col width="44" customWidth="1" min="3" max="3"/>
    <col width="18" customWidth="1" min="4" max="4"/>
    <col width="70" customWidth="1" min="5" max="5"/>
  </cols>
  <sheetData>
    <row r="1">
      <c r="A1" s="1" t="inlineStr">
        <is>
          <t>Jobs by hand</t>
        </is>
      </c>
    </row>
    <row r="3">
      <c r="A3" t="inlineStr">
        <is>
          <t>On a tenant with Jobs, six Jobs run Guardian's upkeep on a schedule.</t>
        </is>
      </c>
    </row>
    <row r="4">
      <c r="A4" t="inlineStr">
        <is>
          <t>Here someone runs them by hand: at the end of each test session, and regularly once Guardian is in use.</t>
        </is>
      </c>
    </row>
    <row r="5">
      <c r="A5" t="inlineStr">
        <is>
          <t>Each Job runs one playbook.</t>
        </is>
      </c>
    </row>
    <row r="6">
      <c r="A6" t="inlineStr">
        <is>
          <t>The four upkeep playbooks run one script and then close the issue they run on, because a Job opens a new issue for every run.</t>
        </is>
      </c>
    </row>
    <row r="7">
      <c r="A7" t="inlineStr">
        <is>
          <t>So there are two ways to run one by hand:</t>
        </is>
      </c>
    </row>
    <row r="8">
      <c r="A8" t="inlineStr">
        <is>
          <t>- The script in any War Room. This is the simpler way for routine use, and nothing is closed.</t>
        </is>
      </c>
    </row>
    <row r="9">
      <c r="A9" t="inlineStr">
        <is>
          <t>- The playbook on a spare issue with !setPlaybook name=&lt;playbook&gt;. It does exactly what a Job run does, and closes that issue at the end.</t>
        </is>
      </c>
    </row>
    <row r="11">
      <c r="A11" s="11" t="inlineStr">
        <is>
          <t>Job</t>
        </is>
      </c>
      <c r="B11" s="11" t="inlineStr">
        <is>
          <t>Playbook</t>
        </is>
      </c>
      <c r="C11" s="11" t="inlineStr">
        <is>
          <t>By hand</t>
        </is>
      </c>
      <c r="D11" s="11" t="inlineStr">
        <is>
          <t>Needs a model</t>
        </is>
      </c>
      <c r="E11" s="11" t="inlineStr">
        <is>
          <t>How often</t>
        </is>
      </c>
    </row>
    <row r="12">
      <c r="A12" s="12" t="inlineStr">
        <is>
          <t>GuardianHousekeeping</t>
        </is>
      </c>
      <c r="B12" s="12" t="inlineStr">
        <is>
          <t>GuardianHousekeeping</t>
        </is>
      </c>
      <c r="C12" s="12" t="inlineStr">
        <is>
          <t>!GuardianHousekeeping</t>
        </is>
      </c>
      <c r="D12" s="12" t="inlineStr">
        <is>
          <t>No</t>
        </is>
      </c>
      <c r="E12" s="12" t="inlineStr">
        <is>
          <t>Hourly on other tenants; here at least daily, and at the end of each session</t>
        </is>
      </c>
    </row>
    <row r="13">
      <c r="A13" s="12" t="inlineStr">
        <is>
          <t>GuardianCaseCapture</t>
        </is>
      </c>
      <c r="B13" s="12" t="inlineStr">
        <is>
          <t>GuardianCaseCapture</t>
        </is>
      </c>
      <c r="C13" s="12" t="inlineStr">
        <is>
          <t>!GuardianCaseCapture</t>
        </is>
      </c>
      <c r="D13" s="12" t="inlineStr">
        <is>
          <t>No</t>
        </is>
      </c>
      <c r="E13" s="12" t="inlineStr">
        <is>
          <t>After closing issues that Guardian investigated (it covers the last 30 hours)</t>
        </is>
      </c>
    </row>
    <row r="14">
      <c r="A14" s="12" t="inlineStr">
        <is>
          <t>GuardianEvalHarvest</t>
        </is>
      </c>
      <c r="B14" s="12" t="inlineStr">
        <is>
          <t>GuardianEvalHarvest</t>
        </is>
      </c>
      <c r="C14" s="12" t="inlineStr">
        <is>
          <t>!GuardianEvalHarvest</t>
        </is>
      </c>
      <c r="D14" s="12" t="inlineStr">
        <is>
          <t>No</t>
        </is>
      </c>
      <c r="E14" s="12" t="inlineStr">
        <is>
          <t>Daily (it covers the last 48 hours)</t>
        </is>
      </c>
    </row>
    <row r="15">
      <c r="A15" s="12" t="inlineStr">
        <is>
          <t>GuardianEvalScore</t>
        </is>
      </c>
      <c r="B15" s="12" t="inlineStr">
        <is>
          <t>GuardianEvalScore</t>
        </is>
      </c>
      <c r="C15" s="12" t="inlineStr">
        <is>
          <t>!GuardianEval action=score</t>
        </is>
      </c>
      <c r="D15" s="12" t="inlineStr">
        <is>
          <t>No</t>
        </is>
      </c>
      <c r="E15" s="12" t="inlineStr">
        <is>
          <t>Only when evaluation runs exist. Evaluation runs open issues that must start a playbook by themselves, which this tenant does not do, so this Job has little to do here.</t>
        </is>
      </c>
    </row>
    <row r="16">
      <c r="A16" s="12" t="inlineStr">
        <is>
          <t>GuardianModelAdaptation</t>
        </is>
      </c>
      <c r="B16" s="12" t="inlineStr">
        <is>
          <t>GuardianModelAdaptation</t>
        </is>
      </c>
      <c r="C16" s="12" t="inlineStr">
        <is>
          <t>!guardian-probe-model, then !GuardianModelProfileUpdate</t>
        </is>
      </c>
      <c r="D16" s="12" t="inlineStr">
        <is>
          <t>Yes (billed)</t>
        </is>
      </c>
      <c r="E16" s="12" t="inlineStr">
        <is>
          <t>Not needed for a model with a documented profile (M14). Otherwise after any change of model or deployment (M7).</t>
        </is>
      </c>
    </row>
    <row r="17">
      <c r="A17" s="12" t="inlineStr">
        <is>
          <t>GuardianIntakeSweep</t>
        </is>
      </c>
      <c r="B17" s="12" t="inlineStr">
        <is>
          <t>GuardianAgentLoop</t>
        </is>
      </c>
      <c r="C17" s="12" t="inlineStr">
        <is>
          <t>!setPlaybook name=GuardianAgentLoop on an issue</t>
        </is>
      </c>
      <c r="D17" s="12" t="inlineStr">
        <is>
          <t>Yes (billed)</t>
        </is>
      </c>
      <c r="E17" s="12" t="inlineStr">
        <is>
          <t>Only if the customer wants queue triage (U5)</t>
        </is>
      </c>
    </row>
    <row r="19">
      <c r="A19" s="1" t="inlineStr">
        <is>
          <t>Without custom issue fields</t>
        </is>
      </c>
      <c r="B19" t="inlineStr">
        <is>
          <t>GuardianCaseCapture, GuardianEvalHarvest and GuardianEvalScore find issues by the Guardian verdict field. On a tenant where P10 found custom issue fields REJECTED or DROPPED they find nothing: skip them.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tabSelected="0"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9" t="inlineStr">
        <is>
          <t>Symptom</t>
        </is>
      </c>
      <c r="B1" s="9" t="inlineStr">
        <is>
          <t>Likely cause</t>
        </is>
      </c>
    </row>
    <row r="2">
      <c r="A2" s="12" t="inlineStr">
        <is>
          <t>!guardian-model, housekeeping or case capture fails, or the run summary stays empty</t>
        </is>
      </c>
      <c r="B2" s="12" t="inlineStr">
        <is>
          <t>No working Core REST API instance (P4)</t>
        </is>
      </c>
    </row>
    <row r="3">
      <c r="A3" s="12" t="inlineStr">
        <is>
          <t>A list is missing (audit, memory, kill switch)</t>
        </is>
      </c>
      <c r="B3" s="12" t="inlineStr">
        <is>
          <t>!GuardianBootstrap was not run (P5)</t>
        </is>
      </c>
    </row>
    <row r="4">
      <c r="A4" s="12" t="inlineStr">
        <is>
          <t>getList returns {"id": ..., "version": -1 ...</t>
        </is>
      </c>
      <c r="B4" s="12" t="inlineStr">
        <is>
          <t>The list was uploaded with its file wrapper; upload it again (docs/cortex-platform/MANUAL_UPLOAD.md)</t>
        </is>
      </c>
    </row>
    <row r="5">
      <c r="A5" s="12" t="inlineStr">
        <is>
          <t>"playbook is not adopted"</t>
        </is>
      </c>
      <c r="B5" s="12" t="inlineStr">
        <is>
          <t>Adopt the playbooks (P3)</t>
        </is>
      </c>
    </row>
    <row r="6">
      <c r="A6" s="12" t="inlineStr">
        <is>
          <t>Everything is denied</t>
        </is>
      </c>
      <c r="B6" s="12" t="inlineStr">
        <is>
          <t>The kill switch is on (!GuardianKillSwitchCheck)</t>
        </is>
      </c>
    </row>
    <row r="7">
      <c r="A7" s="12" t="inlineStr">
        <is>
          <t>Test fails and mentions cryptography or the Docker image</t>
        </is>
      </c>
      <c r="B7" s="12" t="inlineStr">
        <is>
          <t>The tenant has not pulled demisto/crypto, the image Guardian Foundry runs on</t>
        </is>
      </c>
    </row>
    <row r="8">
      <c r="A8" s="12" t="inlineStr">
        <is>
          <t>"Entra ID did not accept the certificate assertion" (AADSTS700027)</t>
        </is>
      </c>
      <c r="B8" s="12" t="inlineStr">
        <is>
          <t>The public certificate is not uploaded to the app registration, the thumbprint is for another certificate, or the Tenant or Client ID is wrong</t>
        </is>
      </c>
    </row>
    <row r="9">
      <c r="A9" s="12" t="inlineStr">
        <is>
          <t>Entra error that the application was not found</t>
        </is>
      </c>
      <c r="B9" s="12" t="inlineStr">
        <is>
          <t>Wrong Client ID, or the app is in a different tenant from the Tenant ID</t>
        </is>
      </c>
    </row>
    <row r="10">
      <c r="A10" s="12" t="inlineStr">
        <is>
          <t>HTTP 401 or 403 from Foundry</t>
        </is>
      </c>
      <c r="B10" s="12" t="inlineStr">
        <is>
          <t>No role on the resource (wait five minutes after adding one), or no custom subdomain on the resource</t>
        </is>
      </c>
    </row>
    <row r="11">
      <c r="A11" s="12" t="inlineStr">
        <is>
          <t>HTTP 404</t>
        </is>
      </c>
      <c r="B11" s="12" t="inlineStr">
        <is>
          <t>Wrong deployment name, or the project endpoint was used instead of the resource endpoint</t>
        </is>
      </c>
    </row>
    <row r="12">
      <c r="A12" s="12" t="inlineStr">
        <is>
          <t>HTTP 429</t>
        </is>
      </c>
      <c r="B12" s="12" t="inlineStr">
        <is>
          <t>The deployment's tokens-per-minute quota is too low</t>
        </is>
      </c>
    </row>
    <row r="13">
      <c r="A13" s="12" t="inlineStr">
        <is>
          <t>"loop already ... ignoring stray re-entry"</t>
        </is>
      </c>
      <c r="B13" s="12" t="inlineStr">
        <is>
          <t>Run !DeleteContext key=Guardian, then start again</t>
        </is>
      </c>
    </row>
    <row r="14">
      <c r="A14" s="12" t="inlineStr">
        <is>
          <t>Verdict fields stay empty</t>
        </is>
      </c>
      <c r="B14" s="12" t="inlineStr">
        <is>
          <t>The tenant cannot store custom issue fields (P10), or the fields are not associated with the issue's type (I3)</t>
        </is>
      </c>
    </row>
    <row r="15">
      <c r="A15" s="12" t="inlineStr">
        <is>
          <t>Cost shows $0</t>
        </is>
      </c>
      <c r="B15" s="12" t="inlineStr">
        <is>
          <t>No price row for the model in guardian_pricing (L7)</t>
        </is>
      </c>
    </row>
    <row r="16">
      <c r="A16" s="12" t="inlineStr">
        <is>
          <t>Turns are 75 to 120 seconds apart, then the run dies</t>
        </is>
      </c>
      <c r="B16" s="12" t="inlineStr">
        <is>
          <t>GuardianReasoningTick was run on its own. Always start a run through the playbook</t>
        </is>
      </c>
    </row>
    <row r="17">
      <c r="A17" s="12" t="inlineStr">
        <is>
          <t>A well-known model shows the guardian_settings input budget (28258) in !guardian-model or a run</t>
        </is>
      </c>
      <c r="B17" s="12" t="inlineStr">
        <is>
          <t>Its name is not matched in guardian_model_catalog (L9), for example a custom deployment name. Run M7: the probe also matches the name the provider reports.</t>
        </is>
      </c>
    </row>
    <row r="18">
      <c r="A18" s="12" t="inlineStr">
        <is>
          <t>Few tools are offered (the tool catalogue entry warns it was truncated)</t>
        </is>
      </c>
      <c r="B18" s="12" t="inlineStr">
        <is>
          <t>The model is not in the catalogue and guardian_settings sets a small model_tier, or an override forces small (M15). A model in the catalogue gets its own size.</t>
        </is>
      </c>
    </row>
    <row r="19">
      <c r="A19" s="12" t="inlineStr">
        <is>
          <t>The probe reports a quota reached at N tokens</t>
        </is>
      </c>
      <c r="B19" s="12" t="inlineStr">
        <is>
          <t>The deployment's tokens-per-minute quota stopped the search, not its context window (B7). A closed frontier model or a model with a published cloud cap keeps its documented limit; otherwise the largest request that answered is used.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tabSelected="0" workbookViewId="0">
      <selection activeCell="A1" sqref="A1"/>
    </sheetView>
  </sheetViews>
  <sheetFormatPr baseColWidth="8" defaultRowHeight="15"/>
  <cols>
    <col width="24" customWidth="1" min="1" max="1"/>
    <col width="120" customWidth="1" min="2" max="2"/>
  </cols>
  <sheetData>
    <row r="1">
      <c r="A1" s="1" t="inlineStr">
        <is>
          <t>Tenant with Jobs and layouts</t>
        </is>
      </c>
    </row>
    <row r="3">
      <c r="A3" s="16" t="inlineStr">
        <is>
          <t>Intro</t>
        </is>
      </c>
      <c r="B3" s="12" t="inlineStr">
        <is>
          <t>Run the whole plan, then these checks as well.</t>
        </is>
      </c>
    </row>
    <row r="4">
      <c r="A4" s="16" t="inlineStr">
        <is>
          <t>Jobs</t>
        </is>
      </c>
      <c r="B4" s="12" t="inlineStr">
        <is>
          <t>Jobs: create the six Jobs (docs/cortex-platform/README.md, "Create the Jobs"). Check that GuardianHousekeeping runs hourly and that GuardianModelAdaptation writes guardian_model_profile. Enable GuardianIntakeSweep (queue triage every 6 hours) only when the customer wants scheduled triage.</t>
        </is>
      </c>
    </row>
    <row r="5">
      <c r="A5" s="16" t="inlineStr">
        <is>
          <t>Issue layout</t>
        </is>
      </c>
      <c r="B5" s="12" t="inlineStr">
        <is>
          <t>Issue layout: where GuardianAgentRunLayout is attached, the Guardian tab shows the run summary, recommended actions, trace and tool ledger. Its buttons (Approve, Deny, Reply to agent, Compact transcript, Pause all runs, Resume all runs) do the same as the commands in sections 5 to 11.</t>
        </is>
      </c>
    </row>
    <row r="6">
      <c r="A6" s="16" t="inlineStr">
        <is>
          <t>SOC Agent page</t>
        </is>
      </c>
      <c r="B6" s="12" t="inlineStr">
        <is>
          <t>SOC Agent page: the guardian:primary indicator page and its buttons (Refresh Tools, Agent Readiness, Validate Tools, Apply Policy, Export Config, New Investigation). Apply Policy narrows the tool allowlist; run !guardian-tools before and after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80" customWidth="1" min="3" max="3"/>
    <col width="60" customWidth="1" min="4" max="4"/>
  </cols>
  <sheetData>
    <row r="1">
      <c r="A1" s="11" t="inlineStr">
        <is>
          <t>Date</t>
        </is>
      </c>
      <c r="B1" s="11" t="inlineStr">
        <is>
          <t>ID</t>
        </is>
      </c>
      <c r="C1" s="11" t="inlineStr">
        <is>
          <t>Change</t>
        </is>
      </c>
      <c r="D1" s="11" t="inlineStr">
        <is>
          <t>In a copy made earlier</t>
        </is>
      </c>
    </row>
    <row r="2">
      <c r="A2" s="12" t="inlineStr">
        <is>
          <t>2026-10-10</t>
        </is>
      </c>
      <c r="B2" s="12" t="inlineStr">
        <is>
          <t>L9</t>
        </is>
      </c>
      <c r="C2" s="12" t="inlineStr">
        <is>
          <t>New: the model catalogue list</t>
        </is>
      </c>
      <c r="D2" s="12" t="inlineStr">
        <is>
          <t>Optional; run it before Part 2.</t>
        </is>
      </c>
    </row>
    <row r="3">
      <c r="A3" s="12" t="inlineStr">
        <is>
          <t>2026-10-10</t>
        </is>
      </c>
      <c r="B3" s="12" t="inlineStr">
        <is>
          <t>L2</t>
        </is>
      </c>
      <c r="C3" s="12" t="inlineStr">
        <is>
          <t>More to note: model_tier, max_input_tokens, incident_fields_enabled and the cap comment</t>
        </is>
      </c>
      <c r="D3" s="12" t="inlineStr">
        <is>
          <t>No re-run needed.</t>
        </is>
      </c>
    </row>
    <row r="4">
      <c r="A4" s="12" t="inlineStr">
        <is>
          <t>2026-10-10</t>
        </is>
      </c>
      <c r="B4" s="12" t="inlineStr">
        <is>
          <t>B5</t>
        </is>
      </c>
      <c r="C4" s="12" t="inlineStr">
        <is>
          <t>A client secret is listed next to the certificate</t>
        </is>
      </c>
      <c r="D4" s="12" t="inlineStr">
        <is>
          <t>No action.</t>
        </is>
      </c>
    </row>
    <row r="5">
      <c r="A5" s="12" t="inlineStr">
        <is>
          <t>2026-10-10</t>
        </is>
      </c>
      <c r="B5" s="12" t="inlineStr">
        <is>
          <t>M1</t>
        </is>
      </c>
      <c r="C5" s="12" t="inlineStr">
        <is>
          <t>Reworded: the Model dropdown, and a client secret as an alternative to the certificate</t>
        </is>
      </c>
      <c r="D5" s="12" t="inlineStr">
        <is>
          <t>No re-run needed.</t>
        </is>
      </c>
    </row>
    <row r="6">
      <c r="A6" s="12" t="inlineStr">
        <is>
          <t>2026-10-10</t>
        </is>
      </c>
      <c r="B6" s="12" t="inlineStr">
        <is>
          <t>M2</t>
        </is>
      </c>
      <c r="C6" s="12" t="inlineStr">
        <is>
          <t>N/A with a client secret</t>
        </is>
      </c>
      <c r="D6" s="12" t="inlineStr">
        <is>
          <t>Mark it N/A if you used a client secret.</t>
        </is>
      </c>
    </row>
    <row r="7">
      <c r="A7" s="12" t="inlineStr">
        <is>
          <t>2026-10-10</t>
        </is>
      </c>
      <c r="B7" s="12" t="inlineStr">
        <is>
          <t>M4</t>
        </is>
      </c>
      <c r="C7" s="12" t="inlineStr">
        <is>
          <t>Expected changed: before any profile is saved, a model in the catalogue shows its documented budget</t>
        </is>
      </c>
      <c r="D7" s="12" t="inlineStr">
        <is>
          <t>Re-run now (needs GuardianModelCommand from 2026-10-10 on the tenant).</t>
        </is>
      </c>
    </row>
    <row r="8">
      <c r="A8" s="12" t="inlineStr">
        <is>
          <t>2026-10-10</t>
        </is>
      </c>
      <c r="B8" s="12" t="inlineStr">
        <is>
          <t>M14</t>
        </is>
      </c>
      <c r="C8" s="12" t="inlineStr">
        <is>
          <t>New: documented profile saved</t>
        </is>
      </c>
      <c r="D8" s="12" t="inlineStr">
        <is>
          <t>Run now, after M4.</t>
        </is>
      </c>
    </row>
    <row r="9">
      <c r="A9" s="12" t="inlineStr">
        <is>
          <t>2026-10-10</t>
        </is>
      </c>
      <c r="B9" s="12" t="inlineStr">
        <is>
          <t>M15</t>
        </is>
      </c>
      <c r="C9" s="12" t="inlineStr">
        <is>
          <t>New: model size</t>
        </is>
      </c>
      <c r="D9" s="12" t="inlineStr">
        <is>
          <t>Run now, after M14.</t>
        </is>
      </c>
    </row>
    <row r="10">
      <c r="A10" s="12" t="inlineStr">
        <is>
          <t>2026-10-10</t>
        </is>
      </c>
      <c r="B10" s="12" t="inlineStr">
        <is>
          <t>M7</t>
        </is>
      </c>
      <c r="C10" s="12" t="inlineStr">
        <is>
          <t>Optional for a model with a documented profile; the budget does not change</t>
        </is>
      </c>
      <c r="D10" s="12" t="inlineStr">
        <is>
          <t>Run when you reach it.</t>
        </is>
      </c>
    </row>
    <row r="11">
      <c r="A11" s="12" t="inlineStr">
        <is>
          <t>2026-10-10</t>
        </is>
      </c>
      <c r="B11" s="12" t="inlineStr">
        <is>
          <t>M13</t>
        </is>
      </c>
      <c r="C11" s="12" t="inlineStr">
        <is>
          <t>Also repeats M14 and M15</t>
        </is>
      </c>
      <c r="D11" s="12" t="inlineStr">
        <is>
          <t>No action.</t>
        </is>
      </c>
    </row>
    <row r="12">
      <c r="A12" s="12" t="inlineStr">
        <is>
          <t>2026-10-10</t>
        </is>
      </c>
      <c r="B12" s="12" t="inlineStr">
        <is>
          <t>I1</t>
        </is>
      </c>
      <c r="C12" s="12" t="inlineStr">
        <is>
          <t>Expected adds the Resolve model profile entry</t>
        </is>
      </c>
      <c r="D12" s="12" t="inlineStr">
        <is>
          <t>Run when you reach it.</t>
        </is>
      </c>
    </row>
    <row r="13">
      <c r="A13" s="12" t="inlineStr">
        <is>
          <t>2026-10-10</t>
        </is>
      </c>
      <c r="B13" s="12" t="inlineStr">
        <is>
          <t>Troubleshooting</t>
        </is>
      </c>
      <c r="C13" s="12" t="inlineStr">
        <is>
          <t>Three new symptoms; the verdict-fields row names P10</t>
        </is>
      </c>
      <c r="D13" s="12" t="inlineStr">
        <is>
          <t>No action.</t>
        </is>
      </c>
    </row>
    <row r="14">
      <c r="A14" s="12" t="inlineStr">
        <is>
          <t>2026-10-10</t>
        </is>
      </c>
      <c r="B14" s="12" t="inlineStr">
        <is>
          <t>Guide, Jobs by hand</t>
        </is>
      </c>
      <c r="C14" s="12" t="inlineStr">
        <is>
          <t>A model in the catalogue needs no sizing Job</t>
        </is>
      </c>
      <c r="D14" s="12" t="inlineStr">
        <is>
          <t>No action.</t>
        </is>
      </c>
    </row>
    <row r="15">
      <c r="A15" s="12" t="inlineStr">
        <is>
          <t>2026-10-10</t>
        </is>
      </c>
      <c r="B15" s="12" t="inlineStr">
        <is>
          <t>L2</t>
        </is>
      </c>
      <c r="C15" s="12" t="inlineStr">
        <is>
          <t>Expected changed: model_tier is now "auto" and the result, history and incident-details limits follow the model</t>
        </is>
      </c>
      <c r="D15" s="12" t="inlineStr">
        <is>
          <t>No re-run needed.</t>
        </is>
      </c>
    </row>
    <row r="16">
      <c r="A16" s="12" t="inlineStr">
        <is>
          <t>2026-10-10</t>
        </is>
      </c>
      <c r="B16" s="12" t="inlineStr">
        <is>
          <t>P9</t>
        </is>
      </c>
      <c r="C16" s="12" t="inlineStr">
        <is>
          <t>The size source can now be the catalogue</t>
        </is>
      </c>
      <c r="D16" s="12" t="inlineStr">
        <is>
          <t>No re-run needed.</t>
        </is>
      </c>
    </row>
    <row r="17">
      <c r="A17" s="12" t="inlineStr">
        <is>
          <t>2026-10-10</t>
        </is>
      </c>
      <c r="B17" s="12" t="inlineStr">
        <is>
          <t>M4</t>
        </is>
      </c>
      <c r="C17" s="12" t="inlineStr">
        <is>
          <t>Expected adds the model size from the catalogue (gpt-5-mini: large)</t>
        </is>
      </c>
      <c r="D17" s="12" t="inlineStr">
        <is>
          <t>Re-run now.</t>
        </is>
      </c>
    </row>
    <row r="18">
      <c r="A18" s="12" t="inlineStr">
        <is>
          <t>2026-10-10</t>
        </is>
      </c>
      <c r="B18" s="12" t="inlineStr">
        <is>
          <t>M15</t>
        </is>
      </c>
      <c r="C18" s="12" t="inlineStr">
        <is>
          <t>Rewritten: a model in the catalogue gets its size from it; guardian_settings sizes only other models</t>
        </is>
      </c>
      <c r="D18" s="12" t="inlineStr">
        <is>
          <t>Re-run now, after M4.</t>
        </is>
      </c>
    </row>
    <row r="19">
      <c r="A19" s="12" t="inlineStr">
        <is>
          <t>2026-10-10</t>
        </is>
      </c>
      <c r="B19" s="12" t="inlineStr">
        <is>
          <t>I1</t>
        </is>
      </c>
      <c r="C19" s="12" t="inlineStr">
        <is>
          <t>Expected changed: progress shows as "Incident was modified" entries; a large model gets every tool</t>
        </is>
      </c>
      <c r="D19" s="12" t="inlineStr">
        <is>
          <t>Re-run on a new issue.</t>
        </is>
      </c>
    </row>
    <row r="20">
      <c r="A20" s="12" t="inlineStr">
        <is>
          <t>2026-10-10</t>
        </is>
      </c>
      <c r="B20" s="12" t="inlineStr">
        <is>
          <t>I2</t>
        </is>
      </c>
      <c r="C20" s="12" t="inlineStr">
        <is>
          <t>Expected adds the analysis above the verdict block</t>
        </is>
      </c>
      <c r="D20" s="12" t="inlineStr">
        <is>
          <t>Re-run with I1.</t>
        </is>
      </c>
    </row>
    <row r="21">
      <c r="A21" s="12" t="inlineStr">
        <is>
          <t>2026-10-10</t>
        </is>
      </c>
      <c r="B21" s="12" t="inlineStr">
        <is>
          <t>Troubleshooting</t>
        </is>
      </c>
      <c r="C21" s="12" t="inlineStr">
        <is>
          <t>The few-tools row names the catalogue</t>
        </is>
      </c>
      <c r="D21" s="12" t="inlineStr">
        <is>
          <t>No action.</t>
        </is>
      </c>
    </row>
    <row r="22">
      <c r="A22" s="12" t="inlineStr">
        <is>
          <t>2026-10-10</t>
        </is>
      </c>
      <c r="B22" s="12" t="inlineStr">
        <is>
          <t>C1 to C11</t>
        </is>
      </c>
      <c r="C22" s="12" t="inlineStr">
        <is>
          <t>New section 17: Cortex-native investigation (issue routing, the evidence packet, posture and detection runs, XQL, memory, digest mode, what Guardian is missing)</t>
        </is>
      </c>
      <c r="D22" s="12" t="inlineStr">
        <is>
          <t>Run after the content is reinstalled; start with C1 and C2.</t>
        </is>
      </c>
    </row>
    <row r="23">
      <c r="A23" s="12" t="inlineStr">
        <is>
          <t>2026-10-10</t>
        </is>
      </c>
      <c r="B23" s="12" t="inlineStr">
        <is>
          <t>I1</t>
        </is>
      </c>
      <c r="C23" s="12" t="inlineStr">
        <is>
          <t>Expected is now the Cortex-native flow: route, evidence packet, skill for the family (see C3)</t>
        </is>
      </c>
      <c r="D23" s="12" t="inlineStr">
        <is>
          <t>Re-run on a new issue.</t>
        </is>
      </c>
    </row>
    <row r="24">
      <c r="A24" s="12" t="inlineStr">
        <is>
          <t>2026-10-10</t>
        </is>
      </c>
      <c r="B24" s="12" t="inlineStr">
        <is>
          <t>I2</t>
        </is>
      </c>
      <c r="C24" s="12" t="inlineStr">
        <is>
          <t>A posture issue ends with the posture block (assessment, priority, exposure, owner, fix), not a Malicious/Suspicious/Benign verdict</t>
        </is>
      </c>
      <c r="D24" s="12" t="inlineStr">
        <is>
          <t>Re-run with I1.</t>
        </is>
      </c>
    </row>
    <row r="25">
      <c r="A25" s="12" t="inlineStr">
        <is>
          <t>2026-10-10</t>
        </is>
      </c>
      <c r="B25" s="12" t="inlineStr">
        <is>
          <t>I3</t>
        </is>
      </c>
      <c r="C25" s="12" t="inlineStr">
        <is>
          <t>The verdict field also accepts Confirmed, Not reproducible and Accepted risk candidate</t>
        </is>
      </c>
      <c r="D25" s="12" t="inlineStr">
        <is>
          <t>Reinstall the Guardian verdict field first.</t>
        </is>
      </c>
    </row>
    <row r="26">
      <c r="A26" s="12" t="inlineStr">
        <is>
          <t>2026-10-13</t>
        </is>
      </c>
      <c r="B26" s="12" t="inlineStr">
        <is>
          <t>T1 to T8</t>
        </is>
      </c>
      <c r="C26" s="12" t="inlineStr">
        <is>
          <t>New section 18: Deterministic triage (rate an issue, validate the answer, set severity and phase by fixed rules, branch by type)</t>
        </is>
      </c>
      <c r="D26" s="12" t="inlineStr">
        <is>
          <t>Run after the content is reinstalled; start with T1 on a fresh issue.</t>
        </is>
      </c>
    </row>
    <row r="27">
      <c r="A27" s="12" t="inlineStr">
        <is>
          <t>2026-10-13</t>
        </is>
      </c>
      <c r="B27" s="12" t="inlineStr">
        <is>
          <t>P1, L2, L3, L4, L8, S1, N3</t>
        </is>
      </c>
      <c r="C27" s="12" t="inlineStr">
        <is>
          <t>The counts and skill names follow the current content: 77 automations, 21 playbooks, 25 lists; no MAX_TICKS in the settings list; 64 allowlisted commands; 34 denied entries; ten skills and 43 knowledge-base entries. S1 and N3 read the skill cortex_triage (cortex_case_triage was removed).</t>
        </is>
      </c>
      <c r="D27" s="12" t="inlineStr">
        <is>
          <t>Re-run S1 and N3 with cortex_triage.</t>
        </is>
      </c>
    </row>
    <row r="28">
      <c r="A28" s="12" t="inlineStr">
        <is>
          <t>2026-10-13</t>
        </is>
      </c>
      <c r="B28" s="12" t="inlineStr">
        <is>
          <t>R1, T8, U4</t>
        </is>
      </c>
      <c r="C28" s="12" t="inlineStr">
        <is>
          <t>R1 says where the search rows are (context, not the War Room entry). T8 has now been seen on a live tenant. U4 notes that loop health shows zeros when runs happen on ordinary issues.</t>
        </is>
      </c>
      <c r="D28" s="12" t="inlineStr">
        <is>
          <t>No re-run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Guardian deployment test: Cortex platform tenant</dc:title>
  <dcterms:created xmlns:dcterms="http://purl.org/dc/terms/" xmlns:xsi="http://www.w3.org/2001/XMLSchema-instance" xsi:type="dcterms:W3CDTF">2026-10-09T11:07:55Z</dcterms:created>
  <dcterms:modified xmlns:dcterms="http://purl.org/dc/terms/" xmlns:xsi="http://www.w3.org/2001/XMLSchema-instance" xsi:type="dcterms:W3CDTF">2026-10-13T17:27:35Z</dcterms:modified>
</cp:coreProperties>
</file>